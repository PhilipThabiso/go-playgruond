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ravidagroup.sharepoint.com/sites/CD021494110/Common/Konstruktion (projekt)/TI-50D-F1 - Cluster 1/Projektdokumenter (egne)/002 - IO lister med rettelser/"/>
    </mc:Choice>
  </mc:AlternateContent>
  <xr:revisionPtr revIDLastSave="3528" documentId="11_D6B8E45219EA1F1EC70F2908EFA65E5A2662E6C4" xr6:coauthVersionLast="47" xr6:coauthVersionMax="47" xr10:uidLastSave="{2C9D4403-BF01-448E-A414-2BDE68A893BE}"/>
  <bookViews>
    <workbookView xWindow="38280" yWindow="-120" windowWidth="38640" windowHeight="21120" tabRatio="604" activeTab="1" xr2:uid="{00000000-000D-0000-FFFF-FFFF00000000}"/>
  </bookViews>
  <sheets>
    <sheet name="Table 1" sheetId="1" r:id="rId1"/>
    <sheet name="Zonetyper" sheetId="2" r:id="rId2"/>
  </sheets>
  <definedNames>
    <definedName name="_xlnm._FilterDatabase" localSheetId="0" hidden="1">'Table 1'!$A$2:$AJ$443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4" i="1" l="1"/>
  <c r="O423" i="1"/>
  <c r="O426" i="1" s="1"/>
  <c r="O444" i="1" l="1"/>
  <c r="I302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7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1" i="1"/>
  <c r="I83" i="1"/>
  <c r="I84" i="1"/>
  <c r="I86" i="1"/>
  <c r="I87" i="1"/>
  <c r="I88" i="1"/>
  <c r="I89" i="1"/>
  <c r="I90" i="1"/>
  <c r="I91" i="1"/>
  <c r="I92" i="1"/>
  <c r="I93" i="1"/>
  <c r="I94" i="1"/>
  <c r="I95" i="1"/>
  <c r="I97" i="1"/>
  <c r="I98" i="1"/>
  <c r="I99" i="1"/>
  <c r="I100" i="1"/>
  <c r="I101" i="1"/>
  <c r="I102" i="1"/>
  <c r="I103" i="1"/>
  <c r="I104" i="1"/>
  <c r="I106" i="1"/>
  <c r="I109" i="1"/>
  <c r="I110" i="1"/>
  <c r="I111" i="1"/>
  <c r="I113" i="1"/>
  <c r="I114" i="1"/>
  <c r="I115" i="1"/>
  <c r="I116" i="1"/>
  <c r="I117" i="1"/>
  <c r="I118" i="1"/>
  <c r="I119" i="1"/>
  <c r="I120" i="1"/>
  <c r="I122" i="1"/>
  <c r="I125" i="1"/>
  <c r="I126" i="1"/>
  <c r="I127" i="1"/>
  <c r="I129" i="1"/>
  <c r="I130" i="1"/>
  <c r="I131" i="1"/>
  <c r="I132" i="1"/>
  <c r="I133" i="1"/>
  <c r="I134" i="1"/>
  <c r="I135" i="1"/>
  <c r="I136" i="1"/>
  <c r="I138" i="1"/>
  <c r="I141" i="1"/>
  <c r="I142" i="1"/>
  <c r="I143" i="1"/>
  <c r="I145" i="1"/>
  <c r="I146" i="1"/>
  <c r="I147" i="1"/>
  <c r="I148" i="1"/>
  <c r="I149" i="1"/>
  <c r="I150" i="1"/>
  <c r="I151" i="1"/>
  <c r="I152" i="1"/>
  <c r="I154" i="1"/>
  <c r="I157" i="1"/>
  <c r="I158" i="1"/>
  <c r="I159" i="1"/>
  <c r="I161" i="1"/>
  <c r="I162" i="1"/>
  <c r="I163" i="1"/>
  <c r="I164" i="1"/>
  <c r="I165" i="1"/>
  <c r="I166" i="1"/>
  <c r="I167" i="1"/>
  <c r="I168" i="1"/>
  <c r="I170" i="1"/>
  <c r="I173" i="1"/>
  <c r="I174" i="1"/>
  <c r="I175" i="1"/>
  <c r="I177" i="1"/>
  <c r="I178" i="1"/>
  <c r="I179" i="1"/>
  <c r="I180" i="1"/>
  <c r="I181" i="1"/>
  <c r="I182" i="1"/>
  <c r="I183" i="1"/>
  <c r="I184" i="1"/>
  <c r="I186" i="1"/>
  <c r="I189" i="1"/>
  <c r="I190" i="1"/>
  <c r="I191" i="1"/>
  <c r="I193" i="1"/>
  <c r="I194" i="1"/>
  <c r="I195" i="1"/>
  <c r="I196" i="1"/>
  <c r="I197" i="1"/>
  <c r="I198" i="1"/>
  <c r="I199" i="1"/>
  <c r="I200" i="1"/>
  <c r="I202" i="1"/>
  <c r="I205" i="1"/>
  <c r="I206" i="1"/>
  <c r="I207" i="1"/>
  <c r="I209" i="1"/>
  <c r="I210" i="1"/>
  <c r="I211" i="1"/>
  <c r="I212" i="1"/>
  <c r="I213" i="1"/>
  <c r="I214" i="1"/>
  <c r="I215" i="1"/>
  <c r="I216" i="1"/>
  <c r="I218" i="1"/>
  <c r="I221" i="1"/>
  <c r="I222" i="1"/>
  <c r="I223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7" i="1"/>
  <c r="I278" i="1"/>
  <c r="I279" i="1"/>
  <c r="I280" i="1"/>
  <c r="I281" i="1"/>
  <c r="I282" i="1"/>
  <c r="I283" i="1"/>
  <c r="I284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3" i="1"/>
  <c r="I304" i="1"/>
  <c r="I305" i="1"/>
  <c r="I306" i="1"/>
  <c r="I307" i="1"/>
  <c r="I308" i="1"/>
  <c r="I309" i="1"/>
  <c r="I310" i="1"/>
  <c r="I311" i="1"/>
  <c r="I312" i="1"/>
  <c r="I314" i="1"/>
  <c r="I316" i="1"/>
  <c r="I318" i="1"/>
  <c r="I319" i="1"/>
  <c r="I320" i="1"/>
  <c r="I321" i="1"/>
  <c r="I322" i="1"/>
  <c r="I323" i="1"/>
  <c r="I324" i="1"/>
  <c r="I325" i="1"/>
  <c r="I326" i="1"/>
  <c r="I330" i="1"/>
  <c r="I331" i="1"/>
  <c r="I332" i="1"/>
  <c r="I333" i="1"/>
  <c r="I334" i="1"/>
  <c r="I335" i="1"/>
  <c r="I336" i="1"/>
  <c r="I337" i="1"/>
  <c r="I340" i="1"/>
  <c r="I341" i="1"/>
  <c r="I342" i="1"/>
  <c r="I343" i="1"/>
  <c r="I344" i="1"/>
  <c r="I345" i="1"/>
  <c r="I347" i="1"/>
  <c r="I348" i="1"/>
  <c r="I349" i="1"/>
  <c r="I350" i="1"/>
  <c r="I352" i="1"/>
  <c r="I353" i="1"/>
  <c r="I354" i="1"/>
  <c r="I355" i="1"/>
  <c r="I357" i="1"/>
  <c r="I358" i="1"/>
  <c r="I359" i="1"/>
  <c r="I360" i="1"/>
  <c r="I362" i="1"/>
  <c r="I363" i="1"/>
  <c r="I364" i="1"/>
  <c r="I365" i="1"/>
  <c r="I367" i="1"/>
  <c r="I368" i="1"/>
  <c r="I369" i="1"/>
  <c r="I370" i="1"/>
  <c r="I372" i="1"/>
  <c r="I373" i="1"/>
  <c r="I374" i="1"/>
  <c r="I375" i="1"/>
  <c r="I377" i="1"/>
  <c r="I378" i="1"/>
  <c r="I379" i="1"/>
  <c r="I380" i="1"/>
  <c r="I382" i="1"/>
  <c r="I383" i="1"/>
  <c r="I385" i="1"/>
  <c r="I386" i="1"/>
  <c r="I387" i="1"/>
  <c r="I388" i="1"/>
  <c r="I390" i="1"/>
  <c r="I391" i="1"/>
  <c r="I395" i="1"/>
  <c r="I396" i="1"/>
  <c r="I397" i="1"/>
  <c r="I398" i="1"/>
  <c r="I399" i="1"/>
  <c r="I404" i="1"/>
  <c r="I406" i="1"/>
  <c r="I408" i="1"/>
  <c r="I410" i="1"/>
  <c r="I412" i="1"/>
  <c r="I414" i="1"/>
  <c r="I416" i="1"/>
  <c r="I41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8" i="1"/>
  <c r="I7" i="1"/>
  <c r="AC423" i="1" l="1"/>
  <c r="S423" i="1"/>
  <c r="N423" i="1"/>
  <c r="P423" i="1"/>
  <c r="M423" i="1"/>
  <c r="M426" i="1" s="1"/>
  <c r="AB423" i="1"/>
  <c r="AA423" i="1"/>
  <c r="R423" i="1"/>
  <c r="W423" i="1"/>
  <c r="X423" i="1"/>
  <c r="Y423" i="1"/>
  <c r="V423" i="1"/>
  <c r="T423" i="1"/>
  <c r="Z423" i="1"/>
  <c r="U423" i="1"/>
  <c r="Q423" i="1"/>
  <c r="AD423" i="1"/>
  <c r="M419" i="1" l="1"/>
  <c r="N426" i="1" l="1"/>
  <c r="N419" i="1" s="1"/>
  <c r="AC426" i="1"/>
  <c r="AC419" i="1" s="1"/>
  <c r="T426" i="1"/>
  <c r="T419" i="1" s="1"/>
  <c r="Z426" i="1"/>
  <c r="Z419" i="1" s="1"/>
  <c r="Y426" i="1"/>
  <c r="Y419" i="1" s="1"/>
  <c r="Q426" i="1"/>
  <c r="Q419" i="1" s="1"/>
  <c r="V426" i="1"/>
  <c r="V419" i="1" s="1"/>
  <c r="X426" i="1"/>
  <c r="X419" i="1" s="1"/>
  <c r="U426" i="1"/>
  <c r="U419" i="1" s="1"/>
  <c r="AB426" i="1"/>
  <c r="AB419" i="1" s="1"/>
  <c r="AD426" i="1"/>
  <c r="AD419" i="1" s="1"/>
  <c r="AA426" i="1"/>
  <c r="AA419" i="1" s="1"/>
  <c r="W426" i="1"/>
  <c r="W419" i="1" s="1"/>
  <c r="P426" i="1"/>
  <c r="P419" i="1" s="1"/>
  <c r="S426" i="1"/>
  <c r="S419" i="1" s="1"/>
  <c r="R426" i="1"/>
  <c r="R419" i="1" s="1"/>
  <c r="N456" i="1" l="1"/>
  <c r="AC389" i="1"/>
  <c r="AC384" i="1" s="1"/>
  <c r="AC327" i="1"/>
  <c r="AC315" i="1"/>
  <c r="AC313" i="1" s="1"/>
  <c r="AC288" i="1"/>
  <c r="AC285" i="1" s="1"/>
  <c r="AC276" i="1" s="1"/>
  <c r="AC243" i="1" s="1"/>
  <c r="AB389" i="1"/>
  <c r="AB384" i="1" s="1"/>
  <c r="AB327" i="1"/>
  <c r="AB315" i="1"/>
  <c r="AB313" i="1" s="1"/>
  <c r="AB288" i="1"/>
  <c r="AB285" i="1" s="1"/>
  <c r="AB276" i="1" s="1"/>
  <c r="AB243" i="1" s="1"/>
  <c r="W389" i="1"/>
  <c r="W384" i="1" s="1"/>
  <c r="W327" i="1"/>
  <c r="W315" i="1"/>
  <c r="W313" i="1" s="1"/>
  <c r="W288" i="1"/>
  <c r="W285" i="1" s="1"/>
  <c r="W276" i="1" s="1"/>
  <c r="W243" i="1" s="1"/>
  <c r="AD389" i="1"/>
  <c r="AD384" i="1" s="1"/>
  <c r="AD327" i="1"/>
  <c r="AD315" i="1"/>
  <c r="AD313" i="1" s="1"/>
  <c r="AD288" i="1"/>
  <c r="AD285" i="1" s="1"/>
  <c r="AD276" i="1" s="1"/>
  <c r="AD243" i="1" s="1"/>
  <c r="AA389" i="1"/>
  <c r="AA384" i="1" s="1"/>
  <c r="AA327" i="1"/>
  <c r="AA315" i="1"/>
  <c r="AA313" i="1" s="1"/>
  <c r="AA288" i="1"/>
  <c r="AA285" i="1" s="1"/>
  <c r="AA276" i="1" s="1"/>
  <c r="AA243" i="1" s="1"/>
  <c r="AA241" i="1" l="1"/>
  <c r="AA224" i="1" s="1"/>
  <c r="AD241" i="1"/>
  <c r="AD224" i="1" s="1"/>
  <c r="W241" i="1"/>
  <c r="W224" i="1" s="1"/>
  <c r="W56" i="1" s="1"/>
  <c r="AB241" i="1"/>
  <c r="AB224" i="1" s="1"/>
  <c r="AC241" i="1"/>
  <c r="AC224" i="1" s="1"/>
  <c r="W6" i="1" l="1"/>
  <c r="AC56" i="1" l="1"/>
  <c r="AC6" i="1"/>
  <c r="AB56" i="1"/>
  <c r="AB6" i="1"/>
  <c r="AD56" i="1"/>
  <c r="AD6" i="1"/>
  <c r="AA56" i="1"/>
  <c r="AA6" i="1"/>
  <c r="Q389" i="1" l="1"/>
  <c r="Q384" i="1"/>
  <c r="Q327" i="1"/>
  <c r="Q315" i="1"/>
  <c r="Q313" i="1"/>
  <c r="Q288" i="1"/>
  <c r="Q285" i="1"/>
  <c r="Q276" i="1"/>
  <c r="Q243" i="1"/>
  <c r="Q241" i="1"/>
  <c r="Q224" i="1"/>
  <c r="Q56" i="1"/>
  <c r="Q6" i="1"/>
  <c r="Q4" i="1"/>
  <c r="Z389" i="1"/>
  <c r="Z384" i="1"/>
  <c r="Z327" i="1"/>
  <c r="Z315" i="1"/>
  <c r="Z313" i="1"/>
  <c r="Z288" i="1"/>
  <c r="Z285" i="1"/>
  <c r="Z276" i="1"/>
  <c r="Z243" i="1"/>
  <c r="Z241" i="1"/>
  <c r="Z224" i="1"/>
  <c r="Z56" i="1"/>
  <c r="Z6" i="1"/>
  <c r="S389" i="1"/>
  <c r="S384" i="1"/>
  <c r="S327" i="1"/>
  <c r="S315" i="1"/>
  <c r="S313" i="1"/>
  <c r="S288" i="1"/>
  <c r="S285" i="1"/>
  <c r="S276" i="1"/>
  <c r="S243" i="1"/>
  <c r="S241" i="1"/>
  <c r="S224" i="1"/>
  <c r="S56" i="1"/>
  <c r="S6" i="1"/>
  <c r="M389" i="1"/>
  <c r="M384" i="1"/>
  <c r="M327" i="1"/>
  <c r="M315" i="1"/>
  <c r="M313" i="1"/>
  <c r="M288" i="1"/>
  <c r="M285" i="1"/>
  <c r="M276" i="1"/>
  <c r="M243" i="1"/>
  <c r="M241" i="1"/>
  <c r="M224" i="1"/>
  <c r="M56" i="1"/>
  <c r="M6" i="1"/>
  <c r="U389" i="1"/>
  <c r="U384" i="1"/>
  <c r="U327" i="1"/>
  <c r="U315" i="1"/>
  <c r="U313" i="1"/>
  <c r="U288" i="1"/>
  <c r="U285" i="1"/>
  <c r="U276" i="1"/>
  <c r="U243" i="1"/>
  <c r="U241" i="1"/>
  <c r="U224" i="1"/>
  <c r="U56" i="1"/>
  <c r="U6" i="1"/>
  <c r="T389" i="1"/>
  <c r="T384" i="1"/>
  <c r="T327" i="1"/>
  <c r="T315" i="1"/>
  <c r="T313" i="1"/>
  <c r="T288" i="1"/>
  <c r="T285" i="1"/>
  <c r="T276" i="1"/>
  <c r="T243" i="1"/>
  <c r="T241" i="1"/>
  <c r="T224" i="1"/>
  <c r="T56" i="1"/>
  <c r="T6" i="1"/>
  <c r="V389" i="1"/>
  <c r="V384" i="1"/>
  <c r="V327" i="1"/>
  <c r="V315" i="1"/>
  <c r="V313" i="1"/>
  <c r="V288" i="1"/>
  <c r="V285" i="1"/>
  <c r="V276" i="1"/>
  <c r="V243" i="1"/>
  <c r="V241" i="1"/>
  <c r="V224" i="1"/>
  <c r="V56" i="1"/>
  <c r="V6" i="1"/>
  <c r="R389" i="1"/>
  <c r="R384" i="1"/>
  <c r="R327" i="1"/>
  <c r="R315" i="1"/>
  <c r="R313" i="1"/>
  <c r="R288" i="1"/>
  <c r="R285" i="1"/>
  <c r="R276" i="1"/>
  <c r="R243" i="1"/>
  <c r="R241" i="1"/>
  <c r="R224" i="1"/>
  <c r="R56" i="1"/>
  <c r="R6" i="1"/>
  <c r="Y389" i="1"/>
  <c r="Y384" i="1"/>
  <c r="Y327" i="1"/>
  <c r="Y315" i="1"/>
  <c r="Y313" i="1"/>
  <c r="Y288" i="1"/>
  <c r="Y285" i="1"/>
  <c r="Y276" i="1"/>
  <c r="Y243" i="1"/>
  <c r="Y241" i="1"/>
  <c r="Y224" i="1"/>
  <c r="Y56" i="1"/>
  <c r="Y6" i="1"/>
  <c r="P389" i="1"/>
  <c r="P384" i="1"/>
  <c r="P327" i="1"/>
  <c r="P315" i="1"/>
  <c r="P313" i="1"/>
  <c r="P288" i="1"/>
  <c r="P285" i="1"/>
  <c r="P276" i="1"/>
  <c r="P243" i="1"/>
  <c r="P241" i="1"/>
  <c r="P224" i="1"/>
  <c r="P56" i="1"/>
  <c r="P6" i="1"/>
  <c r="X56" i="1"/>
  <c r="X224" i="1"/>
  <c r="X241" i="1"/>
  <c r="X243" i="1"/>
  <c r="X276" i="1"/>
  <c r="X285" i="1"/>
  <c r="X288" i="1"/>
  <c r="X313" i="1"/>
  <c r="X315" i="1"/>
  <c r="X327" i="1"/>
  <c r="X384" i="1"/>
  <c r="X389" i="1"/>
  <c r="X6" i="1"/>
  <c r="X444" i="1" s="1"/>
  <c r="N389" i="1"/>
  <c r="N384" i="1"/>
  <c r="N327" i="1"/>
  <c r="N315" i="1"/>
  <c r="N313" i="1"/>
  <c r="N288" i="1"/>
  <c r="N285" i="1"/>
  <c r="N276" i="1"/>
  <c r="N243" i="1"/>
  <c r="N241" i="1"/>
  <c r="N224" i="1"/>
  <c r="N56" i="1"/>
  <c r="N6" i="1"/>
  <c r="N444" i="1"/>
  <c r="X454" i="1" l="1"/>
  <c r="P444" i="1"/>
  <c r="Y444" i="1"/>
  <c r="R444" i="1"/>
  <c r="V444" i="1"/>
  <c r="T444" i="1"/>
  <c r="U444" i="1"/>
  <c r="M444" i="1"/>
  <c r="S444" i="1"/>
  <c r="Z444" i="1"/>
  <c r="Q44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tc={B6722E28-7455-4D09-9F5D-5C23E0EB4679}</author>
  </authors>
  <commentList>
    <comment ref="B302" authorId="0" shapeId="0" xr:uid="{B6722E28-7455-4D09-9F5D-5C23E0EB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Ny IBI boks se PN551</t>
      </text>
    </comment>
  </commentList>
</comments>
</file>

<file path=xl/sharedStrings.xml><?xml version="1.0" encoding="utf-8"?>
<sst xmlns="http://schemas.openxmlformats.org/spreadsheetml/2006/main" count="2713" uniqueCount="1044">
  <si>
    <t>Zone</t>
  </si>
  <si>
    <t>Tavle navn</t>
  </si>
  <si>
    <t>IBI-Boks type</t>
  </si>
  <si>
    <t>Zone Type</t>
  </si>
  <si>
    <t>BMS tavle forsyning</t>
  </si>
  <si>
    <t>Forsyning streng nr.</t>
  </si>
  <si>
    <t>IBI Buskabel streng nr.</t>
  </si>
  <si>
    <t>AHU anlæg</t>
  </si>
  <si>
    <t>IBI-Boks Rum Placering</t>
  </si>
  <si>
    <t>Beskrivelse</t>
  </si>
  <si>
    <t>Placering</t>
  </si>
  <si>
    <t>Kotehøjde</t>
  </si>
  <si>
    <t>Antal af Zone</t>
  </si>
  <si>
    <t>Sum af Rumpanel Cover</t>
  </si>
  <si>
    <t>Sum af Rumføler SLA Temp</t>
  </si>
  <si>
    <t>Luftkvalitet/Temp Rumpanel</t>
  </si>
  <si>
    <t>Temp Rumpanel</t>
  </si>
  <si>
    <t>Temperatur 
i loft</t>
  </si>
  <si>
    <t>Temperatur, 
infrarød</t>
  </si>
  <si>
    <t>VAV-spjæld, 
indbl.</t>
  </si>
  <si>
    <t>VAV-spjæld, 
uds.</t>
  </si>
  <si>
    <t>On/Off spjæld, 
indbl.</t>
  </si>
  <si>
    <t>On/Off- spjæld, 
uds.</t>
  </si>
  <si>
    <t>Ventil, 
radiator</t>
  </si>
  <si>
    <t>Ventil, 
gulvvarme</t>
  </si>
  <si>
    <t>Ventil, kølebaffel</t>
  </si>
  <si>
    <r>
      <rPr>
        <b/>
        <sz val="11"/>
        <rFont val="Calibri"/>
        <family val="2"/>
      </rPr>
      <t>Sum af PIR</t>
    </r>
  </si>
  <si>
    <t>Sum af 
Solafskærmnig,
 motor</t>
  </si>
  <si>
    <t>Sum af Solafskærmning, 
tryk op/ned</t>
  </si>
  <si>
    <r>
      <rPr>
        <b/>
        <sz val="11"/>
        <rFont val="Calibri"/>
        <family val="2"/>
      </rPr>
      <t>Sum af Dørkontakt</t>
    </r>
  </si>
  <si>
    <t>Linje nummer</t>
  </si>
  <si>
    <t>Kommentar</t>
  </si>
  <si>
    <t xml:space="preserve">Signal type </t>
  </si>
  <si>
    <t>AI/BUS</t>
  </si>
  <si>
    <t>AI</t>
  </si>
  <si>
    <t>AO</t>
  </si>
  <si>
    <t>DO</t>
  </si>
  <si>
    <t>DI</t>
  </si>
  <si>
    <r>
      <rPr>
        <b/>
        <sz val="11"/>
        <rFont val="Calibri"/>
        <family val="2"/>
      </rPr>
      <t>Zone type 02</t>
    </r>
  </si>
  <si>
    <t>A1.030.052</t>
  </si>
  <si>
    <t>TI-F1-A1-0801B-UAA57</t>
  </si>
  <si>
    <t>A</t>
  </si>
  <si>
    <t>02</t>
  </si>
  <si>
    <t>ABC</t>
  </si>
  <si>
    <t>0701A</t>
  </si>
  <si>
    <t>A1.030.054</t>
  </si>
  <si>
    <t>Zone type 03</t>
  </si>
  <si>
    <t>A1.020.014</t>
  </si>
  <si>
    <t>TI-F1-A1-0801B-UAA08</t>
  </si>
  <si>
    <t>03</t>
  </si>
  <si>
    <t xml:space="preserve">Over temperatur føler over nedsænket loft </t>
  </si>
  <si>
    <t>A1.020.016</t>
  </si>
  <si>
    <t>TI-F1-A1-0801B-UAA01</t>
  </si>
  <si>
    <t>A1.030.010</t>
  </si>
  <si>
    <t>TI-F1-A1-0801B-UAA27</t>
  </si>
  <si>
    <r>
      <rPr>
        <sz val="11"/>
        <rFont val="Calibri"/>
        <family val="2"/>
      </rPr>
      <t>A2.020.004</t>
    </r>
  </si>
  <si>
    <t>TI-F1-A2-0801B-UAA01</t>
  </si>
  <si>
    <t>BD</t>
  </si>
  <si>
    <t>0701E</t>
  </si>
  <si>
    <r>
      <rPr>
        <sz val="11"/>
        <rFont val="Calibri"/>
        <family val="2"/>
      </rPr>
      <t>A2.020.032</t>
    </r>
  </si>
  <si>
    <t>TI-F1-A2-0801B-UAA19</t>
  </si>
  <si>
    <r>
      <rPr>
        <sz val="11"/>
        <rFont val="Calibri"/>
        <family val="2"/>
      </rPr>
      <t>A2.020.033</t>
    </r>
  </si>
  <si>
    <t>TI-F1-A2-0801B-UAA18</t>
  </si>
  <si>
    <r>
      <rPr>
        <sz val="11"/>
        <rFont val="Calibri"/>
        <family val="2"/>
      </rPr>
      <t>A2.020.037</t>
    </r>
  </si>
  <si>
    <t>TI-F1-A2-0801B-UAA05</t>
  </si>
  <si>
    <r>
      <rPr>
        <sz val="11"/>
        <rFont val="Calibri"/>
        <family val="2"/>
      </rPr>
      <t>A2.020.038</t>
    </r>
  </si>
  <si>
    <t>TI-F1-A2-0801B-UAA04</t>
  </si>
  <si>
    <r>
      <rPr>
        <sz val="11"/>
        <rFont val="Calibri"/>
        <family val="2"/>
      </rPr>
      <t>A2.030.009</t>
    </r>
  </si>
  <si>
    <t>TI-F1-A2-0801B-UAA27</t>
  </si>
  <si>
    <r>
      <rPr>
        <sz val="11"/>
        <rFont val="Calibri"/>
        <family val="2"/>
      </rPr>
      <t>S1.020.103</t>
    </r>
  </si>
  <si>
    <t>TI-F1-S1-0801B-UAA17</t>
  </si>
  <si>
    <t>AEAD</t>
  </si>
  <si>
    <t>0701G</t>
  </si>
  <si>
    <r>
      <rPr>
        <sz val="11"/>
        <rFont val="Calibri"/>
        <family val="2"/>
      </rPr>
      <t>S1.020.116</t>
    </r>
  </si>
  <si>
    <t>TI-F1-S1-0801B-UAA11</t>
  </si>
  <si>
    <r>
      <rPr>
        <sz val="11"/>
        <rFont val="Calibri"/>
        <family val="2"/>
      </rPr>
      <t>S1.020.142</t>
    </r>
  </si>
  <si>
    <t>TI-F1-S1-0801B-UAA02</t>
  </si>
  <si>
    <r>
      <rPr>
        <sz val="11"/>
        <rFont val="Calibri"/>
        <family val="2"/>
      </rPr>
      <t>S1.020.143</t>
    </r>
  </si>
  <si>
    <t>TI-F1-S1-0801B-UAA03</t>
  </si>
  <si>
    <t>S1.020.145</t>
  </si>
  <si>
    <t>TI-F1-S1-0801B-UAA07</t>
  </si>
  <si>
    <r>
      <rPr>
        <sz val="11"/>
        <rFont val="Calibri"/>
        <family val="2"/>
      </rPr>
      <t>S2.020.203</t>
    </r>
  </si>
  <si>
    <t>TI-F1-S2-0801B-UAA17</t>
  </si>
  <si>
    <t>BFAD</t>
  </si>
  <si>
    <t>0701I</t>
  </si>
  <si>
    <r>
      <rPr>
        <sz val="11"/>
        <rFont val="Calibri"/>
        <family val="2"/>
      </rPr>
      <t>S2.020.216</t>
    </r>
  </si>
  <si>
    <t>TI-F1-S2-0801B-UAA11</t>
  </si>
  <si>
    <r>
      <rPr>
        <sz val="11"/>
        <rFont val="Calibri"/>
        <family val="2"/>
      </rPr>
      <t>S2.020.242</t>
    </r>
  </si>
  <si>
    <t>TI-F1-S2-0801B-UAA02</t>
  </si>
  <si>
    <r>
      <rPr>
        <sz val="11"/>
        <rFont val="Calibri"/>
        <family val="2"/>
      </rPr>
      <t>S2.020.243</t>
    </r>
  </si>
  <si>
    <t>TI-F1-S2-0801B-UAA03</t>
  </si>
  <si>
    <r>
      <rPr>
        <sz val="11"/>
        <rFont val="Calibri"/>
        <family val="2"/>
      </rPr>
      <t>S2.020.245</t>
    </r>
  </si>
  <si>
    <t>TI-F1-S2-0801B-UAA07</t>
  </si>
  <si>
    <r>
      <rPr>
        <sz val="11"/>
        <rFont val="Calibri"/>
        <family val="2"/>
      </rPr>
      <t>S3.020.303</t>
    </r>
  </si>
  <si>
    <t>TI-F1-S3-0801B-UAA17</t>
  </si>
  <si>
    <t>AGAD</t>
  </si>
  <si>
    <t>0701K</t>
  </si>
  <si>
    <r>
      <rPr>
        <sz val="11"/>
        <rFont val="Calibri"/>
        <family val="2"/>
      </rPr>
      <t>S3.020.316</t>
    </r>
  </si>
  <si>
    <t>TI-F1-S3-0801B-UAA11</t>
  </si>
  <si>
    <r>
      <rPr>
        <sz val="11"/>
        <rFont val="Calibri"/>
        <family val="2"/>
      </rPr>
      <t>S3.020.342</t>
    </r>
  </si>
  <si>
    <t>TI-F1-S3-0801B-UAA02</t>
  </si>
  <si>
    <r>
      <rPr>
        <sz val="11"/>
        <rFont val="Calibri"/>
        <family val="2"/>
      </rPr>
      <t>S3.020.343</t>
    </r>
  </si>
  <si>
    <t>TI-F1-S3-0801B-UAA03</t>
  </si>
  <si>
    <r>
      <rPr>
        <sz val="11"/>
        <rFont val="Calibri"/>
        <family val="2"/>
      </rPr>
      <t>S3.020.345</t>
    </r>
  </si>
  <si>
    <t>TI-F1-S3-0801B-UAA07</t>
  </si>
  <si>
    <r>
      <rPr>
        <sz val="11"/>
        <rFont val="Calibri"/>
        <family val="2"/>
      </rPr>
      <t>S4.020.403</t>
    </r>
  </si>
  <si>
    <t>TI-F1-S4-0801B-UAA17</t>
  </si>
  <si>
    <t>BHAD</t>
  </si>
  <si>
    <t>0701M</t>
  </si>
  <si>
    <r>
      <rPr>
        <sz val="11"/>
        <rFont val="Calibri"/>
        <family val="2"/>
      </rPr>
      <t>S4.020.416</t>
    </r>
  </si>
  <si>
    <t>TI-F1-S4-0801B-UAA11</t>
  </si>
  <si>
    <r>
      <rPr>
        <sz val="11"/>
        <rFont val="Calibri"/>
        <family val="2"/>
      </rPr>
      <t>S4.020.442</t>
    </r>
  </si>
  <si>
    <t>TI-F1-S4-0801B-UAA02</t>
  </si>
  <si>
    <r>
      <rPr>
        <sz val="11"/>
        <rFont val="Calibri"/>
        <family val="2"/>
      </rPr>
      <t>S4.020.443</t>
    </r>
  </si>
  <si>
    <t>TI-F1-S4-0801B-UAA03</t>
  </si>
  <si>
    <r>
      <rPr>
        <sz val="11"/>
        <rFont val="Calibri"/>
        <family val="2"/>
      </rPr>
      <t>S4.020.445</t>
    </r>
  </si>
  <si>
    <t>TI-F1-S4-0801B-UAA07</t>
  </si>
  <si>
    <r>
      <rPr>
        <sz val="11"/>
        <rFont val="Calibri"/>
        <family val="2"/>
      </rPr>
      <t>S5.020.503</t>
    </r>
  </si>
  <si>
    <t>TI-F1-S5-0801B-UAA17</t>
  </si>
  <si>
    <t>AIAD</t>
  </si>
  <si>
    <t>0701O</t>
  </si>
  <si>
    <r>
      <rPr>
        <sz val="11"/>
        <rFont val="Calibri"/>
        <family val="2"/>
      </rPr>
      <t>S5.020.516</t>
    </r>
  </si>
  <si>
    <t>TI-F1-S5-0801B-UAA11</t>
  </si>
  <si>
    <r>
      <rPr>
        <sz val="11"/>
        <rFont val="Calibri"/>
        <family val="2"/>
      </rPr>
      <t>S5.020.542</t>
    </r>
  </si>
  <si>
    <t>TI-F1-S5-0801B-UAA02</t>
  </si>
  <si>
    <r>
      <rPr>
        <sz val="11"/>
        <rFont val="Calibri"/>
        <family val="2"/>
      </rPr>
      <t>S5.020.543</t>
    </r>
  </si>
  <si>
    <t>TI-F1-S5-0801B-UAA03</t>
  </si>
  <si>
    <r>
      <rPr>
        <sz val="11"/>
        <rFont val="Calibri"/>
        <family val="2"/>
      </rPr>
      <t>S5.020.545</t>
    </r>
  </si>
  <si>
    <t>TI-F1-S5-0801B-UAA07</t>
  </si>
  <si>
    <r>
      <rPr>
        <sz val="11"/>
        <rFont val="Calibri"/>
        <family val="2"/>
      </rPr>
      <t>S6.020.603</t>
    </r>
  </si>
  <si>
    <t>TI-F1-S6-0801B-UAA17</t>
  </si>
  <si>
    <t>BJAD</t>
  </si>
  <si>
    <t>0701Q</t>
  </si>
  <si>
    <r>
      <rPr>
        <sz val="11"/>
        <rFont val="Calibri"/>
        <family val="2"/>
      </rPr>
      <t>S6.020.616</t>
    </r>
  </si>
  <si>
    <t>TI-F1-S6-0801B-UAA11</t>
  </si>
  <si>
    <r>
      <rPr>
        <sz val="11"/>
        <rFont val="Calibri"/>
        <family val="2"/>
      </rPr>
      <t>S6.020.642</t>
    </r>
  </si>
  <si>
    <t>TI-F1-S6-0801B-UAA02</t>
  </si>
  <si>
    <r>
      <rPr>
        <sz val="11"/>
        <rFont val="Calibri"/>
        <family val="2"/>
      </rPr>
      <t>S6.020.643</t>
    </r>
  </si>
  <si>
    <t>TI-F1-S6-0801B-UAA03</t>
  </si>
  <si>
    <r>
      <rPr>
        <sz val="11"/>
        <rFont val="Calibri"/>
        <family val="2"/>
      </rPr>
      <t>S6.020.645</t>
    </r>
  </si>
  <si>
    <t>TI-F1-S6-0801B-UAA07</t>
  </si>
  <si>
    <r>
      <rPr>
        <sz val="11"/>
        <rFont val="Calibri"/>
        <family val="2"/>
      </rPr>
      <t>S7.020.703</t>
    </r>
  </si>
  <si>
    <t>TI-F1-S7-0801B-UAA17</t>
  </si>
  <si>
    <t>AKAD</t>
  </si>
  <si>
    <t>0701S</t>
  </si>
  <si>
    <r>
      <rPr>
        <sz val="11"/>
        <rFont val="Calibri"/>
        <family val="2"/>
      </rPr>
      <t>S7.020.716</t>
    </r>
  </si>
  <si>
    <t>TI-F1-S7-0801B-UAA11</t>
  </si>
  <si>
    <r>
      <rPr>
        <sz val="11"/>
        <rFont val="Calibri"/>
        <family val="2"/>
      </rPr>
      <t>S7.020.742</t>
    </r>
  </si>
  <si>
    <t>TI-F1-S7-0801B-UAA02</t>
  </si>
  <si>
    <r>
      <rPr>
        <sz val="11"/>
        <rFont val="Calibri"/>
        <family val="2"/>
      </rPr>
      <t>S7.020.743</t>
    </r>
  </si>
  <si>
    <t>TI-F1-S7-0801B-UAA03</t>
  </si>
  <si>
    <r>
      <rPr>
        <sz val="11"/>
        <rFont val="Calibri"/>
        <family val="2"/>
      </rPr>
      <t>S7.020.745</t>
    </r>
  </si>
  <si>
    <t>TI-F1-S7-0801B-UAA07</t>
  </si>
  <si>
    <r>
      <rPr>
        <sz val="11"/>
        <rFont val="Calibri"/>
        <family val="2"/>
      </rPr>
      <t>S8.020.803</t>
    </r>
  </si>
  <si>
    <t>TI-F1-S8-0801B-UAA17</t>
  </si>
  <si>
    <t>BLAD</t>
  </si>
  <si>
    <t>0701U</t>
  </si>
  <si>
    <r>
      <rPr>
        <sz val="11"/>
        <rFont val="Calibri"/>
        <family val="2"/>
      </rPr>
      <t>S8.020.816</t>
    </r>
  </si>
  <si>
    <t>TI-F1-S8-0801B-UAA11</t>
  </si>
  <si>
    <r>
      <rPr>
        <sz val="11"/>
        <rFont val="Calibri"/>
        <family val="2"/>
      </rPr>
      <t>S8.020.842</t>
    </r>
  </si>
  <si>
    <t>TI-F1-S8-0801B-UAA02</t>
  </si>
  <si>
    <r>
      <rPr>
        <sz val="11"/>
        <rFont val="Calibri"/>
        <family val="2"/>
      </rPr>
      <t>S8.020.843</t>
    </r>
  </si>
  <si>
    <t>TI-F1-S8-0801B-UAA03</t>
  </si>
  <si>
    <r>
      <rPr>
        <sz val="11"/>
        <rFont val="Calibri"/>
        <family val="2"/>
      </rPr>
      <t>S8.020.845</t>
    </r>
  </si>
  <si>
    <t>TI-F1-S8-0801B-UAA07</t>
  </si>
  <si>
    <r>
      <rPr>
        <b/>
        <sz val="11"/>
        <rFont val="Calibri"/>
        <family val="2"/>
      </rPr>
      <t>Zone type 04</t>
    </r>
  </si>
  <si>
    <t>A1.020.009</t>
  </si>
  <si>
    <t>TI-F1-A1-0801B-UAA17</t>
  </si>
  <si>
    <t>04</t>
  </si>
  <si>
    <t>A1.020.013</t>
  </si>
  <si>
    <t>TI-F1-A1-0801B-UAA15</t>
  </si>
  <si>
    <t>A1.020.012</t>
  </si>
  <si>
    <t>A1.020.020</t>
  </si>
  <si>
    <t>TI-F1-A1-0801B-UAA03</t>
  </si>
  <si>
    <r>
      <rPr>
        <sz val="11"/>
        <rFont val="Calibri"/>
        <family val="2"/>
      </rPr>
      <t>A1.020.022</t>
    </r>
  </si>
  <si>
    <t>TI-F1-A1-0801B-UAA02</t>
  </si>
  <si>
    <t>A1.020.023</t>
  </si>
  <si>
    <t>TI-F1-A1-0801B-UAA14</t>
  </si>
  <si>
    <t>A1.020.024</t>
  </si>
  <si>
    <t>TI-F1-A1-0801B-UAA16</t>
  </si>
  <si>
    <t>A1.020.025</t>
  </si>
  <si>
    <t>TI-F1-A1-0801B-UAA04</t>
  </si>
  <si>
    <t>A1.020.051</t>
  </si>
  <si>
    <t>TI-F1-A1-0801B-UAA06</t>
  </si>
  <si>
    <t>0701D</t>
  </si>
  <si>
    <r>
      <rPr>
        <sz val="11"/>
        <rFont val="Calibri"/>
        <family val="2"/>
      </rPr>
      <t>A1.020.084</t>
    </r>
  </si>
  <si>
    <t>TI-F1-A1-0801B-UAA26</t>
  </si>
  <si>
    <t>0701B</t>
  </si>
  <si>
    <r>
      <rPr>
        <sz val="11"/>
        <rFont val="Calibri"/>
        <family val="2"/>
      </rPr>
      <t>A1.020.085</t>
    </r>
  </si>
  <si>
    <t>TI-F1-A1-0801B-UAA22</t>
  </si>
  <si>
    <r>
      <rPr>
        <sz val="11"/>
        <rFont val="Calibri"/>
        <family val="2"/>
      </rPr>
      <t>A1.020.095</t>
    </r>
  </si>
  <si>
    <t>TI-F1-A1-0801B-UAA21</t>
  </si>
  <si>
    <t>A1.020.102</t>
  </si>
  <si>
    <t>TI-F1-A1-0801B-UAA09</t>
  </si>
  <si>
    <t>A1.020.103</t>
  </si>
  <si>
    <t>TI-F1-A1-0801B-UAA10</t>
  </si>
  <si>
    <t>A1.020.104</t>
  </si>
  <si>
    <t>TI-F1-A1-0801B-UAA11</t>
  </si>
  <si>
    <r>
      <rPr>
        <sz val="11"/>
        <rFont val="Calibri"/>
        <family val="2"/>
      </rPr>
      <t>A1.030.005</t>
    </r>
  </si>
  <si>
    <t>TI-F1-A1-0801B-UAA29</t>
  </si>
  <si>
    <r>
      <rPr>
        <sz val="11"/>
        <rFont val="Calibri"/>
        <family val="2"/>
      </rPr>
      <t>A1.030.008</t>
    </r>
  </si>
  <si>
    <t>TI-F1-A1-0801B-UAA30</t>
  </si>
  <si>
    <r>
      <rPr>
        <sz val="11"/>
        <rFont val="Calibri"/>
        <family val="2"/>
      </rPr>
      <t>A1.030.018</t>
    </r>
  </si>
  <si>
    <t>TI-F1-A1-0801B-UAA35</t>
  </si>
  <si>
    <r>
      <rPr>
        <sz val="11"/>
        <rFont val="Calibri"/>
        <family val="2"/>
      </rPr>
      <t>A1.030.020</t>
    </r>
  </si>
  <si>
    <t>TI-F1-A1-0801B-UAA36</t>
  </si>
  <si>
    <r>
      <rPr>
        <sz val="11"/>
        <rFont val="Calibri"/>
        <family val="2"/>
      </rPr>
      <t>A1.030.049</t>
    </r>
  </si>
  <si>
    <t>TI-F1-A1-0801B-UAA54</t>
  </si>
  <si>
    <r>
      <rPr>
        <sz val="11"/>
        <rFont val="Calibri"/>
        <family val="2"/>
      </rPr>
      <t>A1.030.053</t>
    </r>
  </si>
  <si>
    <t>TI-F1-A1-0801B-UAA47</t>
  </si>
  <si>
    <r>
      <rPr>
        <sz val="11"/>
        <rFont val="Calibri"/>
        <family val="2"/>
      </rPr>
      <t>A2.020.001</t>
    </r>
  </si>
  <si>
    <t>TI-F1-A2-0801B-UAA10</t>
  </si>
  <si>
    <r>
      <rPr>
        <sz val="11"/>
        <rFont val="Calibri"/>
        <family val="2"/>
      </rPr>
      <t>A2.020.002</t>
    </r>
  </si>
  <si>
    <t>TI-F1-A2-0801B-UAA09</t>
  </si>
  <si>
    <r>
      <rPr>
        <sz val="11"/>
        <rFont val="Calibri"/>
        <family val="2"/>
      </rPr>
      <t>A2.020.003</t>
    </r>
  </si>
  <si>
    <t>TI-F1-A2-0801B-UAA08</t>
  </si>
  <si>
    <r>
      <rPr>
        <sz val="11"/>
        <rFont val="Calibri"/>
        <family val="2"/>
      </rPr>
      <t>A2.020.006</t>
    </r>
  </si>
  <si>
    <t>TI-F1-A2-0801B-UAA12</t>
  </si>
  <si>
    <t>A2.020.011</t>
  </si>
  <si>
    <r>
      <rPr>
        <sz val="11"/>
        <rFont val="Calibri"/>
        <family val="2"/>
      </rPr>
      <t>A2.020.012</t>
    </r>
  </si>
  <si>
    <t>TI-F1-A2-0801B-UAA13</t>
  </si>
  <si>
    <r>
      <rPr>
        <sz val="11"/>
        <rFont val="Calibri"/>
        <family val="2"/>
      </rPr>
      <t>A2.020.021</t>
    </r>
  </si>
  <si>
    <t>TI-F1-A2-0801B-UAA02</t>
  </si>
  <si>
    <t>A2.020.004</t>
  </si>
  <si>
    <r>
      <rPr>
        <sz val="11"/>
        <rFont val="Calibri"/>
        <family val="2"/>
      </rPr>
      <t>A2.020.022</t>
    </r>
  </si>
  <si>
    <t>TI-F1-A2-0801B-UAA26</t>
  </si>
  <si>
    <r>
      <rPr>
        <sz val="11"/>
        <rFont val="Calibri"/>
        <family val="2"/>
      </rPr>
      <t>A2.020.025</t>
    </r>
  </si>
  <si>
    <t>TI-F1-A2-0801B-UAA25</t>
  </si>
  <si>
    <r>
      <rPr>
        <sz val="11"/>
        <rFont val="Calibri"/>
        <family val="2"/>
      </rPr>
      <t>A2.020.027</t>
    </r>
  </si>
  <si>
    <t>TI-F1-A2-0801B-UAA21</t>
  </si>
  <si>
    <t>A2.020.029</t>
  </si>
  <si>
    <r>
      <rPr>
        <sz val="11"/>
        <rFont val="Calibri"/>
        <family val="2"/>
      </rPr>
      <t>A2.020.044</t>
    </r>
  </si>
  <si>
    <t>TI-F1-A2-0801B-UAA11</t>
  </si>
  <si>
    <r>
      <rPr>
        <sz val="11"/>
        <rFont val="Calibri"/>
        <family val="2"/>
      </rPr>
      <t>A2.020.045</t>
    </r>
  </si>
  <si>
    <t>TI-F1-A2-0801B-UAA17</t>
  </si>
  <si>
    <r>
      <rPr>
        <sz val="11"/>
        <rFont val="Calibri"/>
        <family val="2"/>
      </rPr>
      <t>A2.030.002</t>
    </r>
  </si>
  <si>
    <t>TI-F1-A2-0801B-UAA30</t>
  </si>
  <si>
    <r>
      <rPr>
        <sz val="11"/>
        <rFont val="Calibri"/>
        <family val="2"/>
      </rPr>
      <t>A2.030.014</t>
    </r>
  </si>
  <si>
    <t>TI-F1-A2-0801B-UAA32</t>
  </si>
  <si>
    <r>
      <rPr>
        <sz val="11"/>
        <rFont val="Calibri"/>
        <family val="2"/>
      </rPr>
      <t>A2.030.015</t>
    </r>
  </si>
  <si>
    <t>TI-F1-A2-0801B-UAA31</t>
  </si>
  <si>
    <r>
      <rPr>
        <sz val="11"/>
        <rFont val="Calibri"/>
        <family val="2"/>
      </rPr>
      <t>A2.030.024</t>
    </r>
  </si>
  <si>
    <t>TI-F1-A2-0801B-UAA51</t>
  </si>
  <si>
    <r>
      <rPr>
        <sz val="11"/>
        <rFont val="Calibri"/>
        <family val="2"/>
      </rPr>
      <t>A2.030.043</t>
    </r>
  </si>
  <si>
    <t>TI-F1-A2-0801B-UAA53</t>
  </si>
  <si>
    <r>
      <rPr>
        <sz val="11"/>
        <rFont val="Calibri"/>
        <family val="2"/>
      </rPr>
      <t>A2.040.001</t>
    </r>
  </si>
  <si>
    <t>TI-F1-A2-0801B-UAA55</t>
  </si>
  <si>
    <r>
      <rPr>
        <sz val="11"/>
        <rFont val="Calibri"/>
        <family val="2"/>
      </rPr>
      <t>A2.040.002</t>
    </r>
  </si>
  <si>
    <t>TI-F1-A2-0801B-UAA56</t>
  </si>
  <si>
    <r>
      <rPr>
        <sz val="11"/>
        <rFont val="Calibri"/>
        <family val="2"/>
      </rPr>
      <t>A2.040.003</t>
    </r>
  </si>
  <si>
    <t>TI-F1-A2-0801B-UAA54</t>
  </si>
  <si>
    <r>
      <rPr>
        <sz val="11"/>
        <rFont val="Calibri"/>
        <family val="2"/>
      </rPr>
      <t>S1.020.101</t>
    </r>
  </si>
  <si>
    <t>TI-F1-S1-0801B-UAA14</t>
  </si>
  <si>
    <t>S1.020.102</t>
  </si>
  <si>
    <r>
      <rPr>
        <sz val="11"/>
        <rFont val="Calibri"/>
        <family val="2"/>
      </rPr>
      <t>S1.020.104</t>
    </r>
  </si>
  <si>
    <t>TI-F1-S1-0801B-UAA23</t>
  </si>
  <si>
    <r>
      <rPr>
        <sz val="11"/>
        <rFont val="Calibri"/>
        <family val="2"/>
      </rPr>
      <t>S1.020.105</t>
    </r>
  </si>
  <si>
    <t>TI-F1-S1-0801B-UAA19</t>
  </si>
  <si>
    <r>
      <rPr>
        <sz val="11"/>
        <rFont val="Calibri"/>
        <family val="2"/>
      </rPr>
      <t>S1.020.106</t>
    </r>
  </si>
  <si>
    <t>TI-F1-S1-0801B-UAA20</t>
  </si>
  <si>
    <r>
      <rPr>
        <sz val="11"/>
        <rFont val="Calibri"/>
        <family val="2"/>
      </rPr>
      <t>S1.020.110</t>
    </r>
  </si>
  <si>
    <t>TI-F1-S1-0801B-UAA22</t>
  </si>
  <si>
    <r>
      <rPr>
        <sz val="11"/>
        <rFont val="Calibri"/>
        <family val="2"/>
      </rPr>
      <t>S1.020.111</t>
    </r>
  </si>
  <si>
    <t>TI-F1-S1-0801B-UAA21</t>
  </si>
  <si>
    <r>
      <rPr>
        <sz val="11"/>
        <rFont val="Calibri"/>
        <family val="2"/>
      </rPr>
      <t>S1.020.115</t>
    </r>
  </si>
  <si>
    <t>TI-F1-S1-0801B-UAA12</t>
  </si>
  <si>
    <r>
      <rPr>
        <sz val="11"/>
        <rFont val="Calibri"/>
        <family val="2"/>
      </rPr>
      <t>S1.020.119</t>
    </r>
  </si>
  <si>
    <t>TI-F1-S1-0801B-UAA15</t>
  </si>
  <si>
    <r>
      <rPr>
        <sz val="11"/>
        <rFont val="Calibri"/>
        <family val="2"/>
      </rPr>
      <t>S1.020.134</t>
    </r>
  </si>
  <si>
    <t>TI-F1-S1-0801B-UAA10</t>
  </si>
  <si>
    <r>
      <rPr>
        <sz val="11"/>
        <rFont val="Calibri"/>
        <family val="2"/>
      </rPr>
      <t>S1.020.136</t>
    </r>
  </si>
  <si>
    <t>TI-F1-S1-0801B-UAA09</t>
  </si>
  <si>
    <t>S1.020.137</t>
  </si>
  <si>
    <r>
      <rPr>
        <sz val="11"/>
        <rFont val="Calibri"/>
        <family val="2"/>
      </rPr>
      <t>S1.020.137</t>
    </r>
  </si>
  <si>
    <t>TI-F1-S1-0801B-UAA01</t>
  </si>
  <si>
    <r>
      <rPr>
        <sz val="11"/>
        <rFont val="Calibri"/>
        <family val="2"/>
      </rPr>
      <t>S1.020.138</t>
    </r>
  </si>
  <si>
    <t>TI-F1-S1-0801B-UAA08</t>
  </si>
  <si>
    <r>
      <rPr>
        <sz val="11"/>
        <rFont val="Calibri"/>
        <family val="2"/>
      </rPr>
      <t>S1.020.140</t>
    </r>
  </si>
  <si>
    <t>TI-F1-S1-0801B-UAA06</t>
  </si>
  <si>
    <r>
      <rPr>
        <sz val="11"/>
        <rFont val="Calibri"/>
        <family val="2"/>
      </rPr>
      <t>S1.020.141</t>
    </r>
  </si>
  <si>
    <t>TI-F1-S1-0801B-UAA05</t>
  </si>
  <si>
    <r>
      <rPr>
        <sz val="11"/>
        <rFont val="Calibri"/>
        <family val="2"/>
      </rPr>
      <t>S1.030.105</t>
    </r>
  </si>
  <si>
    <t>TI-F1-S1-0801B-UAA29</t>
  </si>
  <si>
    <r>
      <rPr>
        <sz val="11"/>
        <rFont val="Calibri"/>
        <family val="2"/>
      </rPr>
      <t>S1.030.110</t>
    </r>
  </si>
  <si>
    <t>TI-F1-S1-0801B-UAA33</t>
  </si>
  <si>
    <r>
      <rPr>
        <sz val="11"/>
        <rFont val="Calibri"/>
        <family val="2"/>
      </rPr>
      <t>S2.020.201</t>
    </r>
  </si>
  <si>
    <t>TI-F1-S2-0801B-UAA14</t>
  </si>
  <si>
    <t>S2.020.202</t>
  </si>
  <si>
    <r>
      <rPr>
        <sz val="11"/>
        <rFont val="Calibri"/>
        <family val="2"/>
      </rPr>
      <t>S2.020.204</t>
    </r>
  </si>
  <si>
    <t>TI-F1-S2-0801B-UAA19</t>
  </si>
  <si>
    <r>
      <rPr>
        <sz val="11"/>
        <rFont val="Calibri"/>
        <family val="2"/>
      </rPr>
      <t>S2.020.205</t>
    </r>
  </si>
  <si>
    <t>TI-F1-S2-0801B-UAA20</t>
  </si>
  <si>
    <r>
      <rPr>
        <sz val="11"/>
        <rFont val="Calibri"/>
        <family val="2"/>
      </rPr>
      <t>S2.020.206</t>
    </r>
  </si>
  <si>
    <t>TI-F1-S2-0801B-UAA23</t>
  </si>
  <si>
    <r>
      <rPr>
        <sz val="11"/>
        <rFont val="Calibri"/>
        <family val="2"/>
      </rPr>
      <t>S2.020.210</t>
    </r>
  </si>
  <si>
    <t>TI-F1-S2-0801B-UAA22</t>
  </si>
  <si>
    <r>
      <rPr>
        <sz val="11"/>
        <rFont val="Calibri"/>
        <family val="2"/>
      </rPr>
      <t>S2.020.211</t>
    </r>
  </si>
  <si>
    <t>TI-F1-S2-0801B-UAA21</t>
  </si>
  <si>
    <r>
      <rPr>
        <sz val="11"/>
        <rFont val="Calibri"/>
        <family val="2"/>
      </rPr>
      <t>S2.020.215</t>
    </r>
  </si>
  <si>
    <t>TI-F1-S2-0801B-UAA12</t>
  </si>
  <si>
    <r>
      <rPr>
        <sz val="11"/>
        <rFont val="Calibri"/>
        <family val="2"/>
      </rPr>
      <t>S2.020.219</t>
    </r>
  </si>
  <si>
    <t>TI-F1-S2-0801B-UAA15</t>
  </si>
  <si>
    <r>
      <rPr>
        <sz val="11"/>
        <rFont val="Calibri"/>
        <family val="2"/>
      </rPr>
      <t>S2.020.234</t>
    </r>
  </si>
  <si>
    <t>TI-F1-S2-0801B-UAA10</t>
  </si>
  <si>
    <r>
      <rPr>
        <sz val="11"/>
        <rFont val="Calibri"/>
        <family val="2"/>
      </rPr>
      <t>S2.020.236</t>
    </r>
  </si>
  <si>
    <t>TI-F1-S2-0801B-UAA09</t>
  </si>
  <si>
    <t>S2.020.237</t>
  </si>
  <si>
    <r>
      <rPr>
        <sz val="11"/>
        <rFont val="Calibri"/>
        <family val="2"/>
      </rPr>
      <t>S2.020.237</t>
    </r>
  </si>
  <si>
    <t>TI-F1-S2-0801B-UAA01</t>
  </si>
  <si>
    <r>
      <rPr>
        <sz val="11"/>
        <rFont val="Calibri"/>
        <family val="2"/>
      </rPr>
      <t>S2.020.238</t>
    </r>
  </si>
  <si>
    <t>TI-F1-S2-0801B-UAA08</t>
  </si>
  <si>
    <r>
      <rPr>
        <sz val="11"/>
        <rFont val="Calibri"/>
        <family val="2"/>
      </rPr>
      <t>S2.020.240</t>
    </r>
  </si>
  <si>
    <t>TI-F1-S2-0801B-UAA06</t>
  </si>
  <si>
    <r>
      <rPr>
        <sz val="11"/>
        <rFont val="Calibri"/>
        <family val="2"/>
      </rPr>
      <t>S2.020.241</t>
    </r>
  </si>
  <si>
    <t>TI-F1-S2-0801B-UAA05</t>
  </si>
  <si>
    <r>
      <rPr>
        <sz val="11"/>
        <rFont val="Calibri"/>
        <family val="2"/>
      </rPr>
      <t>S2.030.205</t>
    </r>
  </si>
  <si>
    <t>TI-F1-S2-0801B-UAA29</t>
  </si>
  <si>
    <r>
      <rPr>
        <sz val="11"/>
        <rFont val="Calibri"/>
        <family val="2"/>
      </rPr>
      <t>S2.030.210</t>
    </r>
  </si>
  <si>
    <t>TI-F1-S2-0801B-UAA33</t>
  </si>
  <si>
    <r>
      <rPr>
        <sz val="11"/>
        <rFont val="Calibri"/>
        <family val="2"/>
      </rPr>
      <t>S3.020.301</t>
    </r>
  </si>
  <si>
    <t>TI-F1-S3-0801B-UAA14</t>
  </si>
  <si>
    <t>S3.020.302</t>
  </si>
  <si>
    <r>
      <rPr>
        <sz val="11"/>
        <rFont val="Calibri"/>
        <family val="2"/>
      </rPr>
      <t>S3.020.304</t>
    </r>
  </si>
  <si>
    <t>TI-F1-S3-0801B-UAA23</t>
  </si>
  <si>
    <r>
      <rPr>
        <sz val="11"/>
        <rFont val="Calibri"/>
        <family val="2"/>
      </rPr>
      <t>S3.020.305</t>
    </r>
  </si>
  <si>
    <t>TI-F1-S3-0801B-UAA19</t>
  </si>
  <si>
    <r>
      <rPr>
        <sz val="11"/>
        <rFont val="Calibri"/>
        <family val="2"/>
      </rPr>
      <t>S3.020.306</t>
    </r>
  </si>
  <si>
    <t>TI-F1-S3-0801B-UAA20</t>
  </si>
  <si>
    <r>
      <rPr>
        <sz val="11"/>
        <rFont val="Calibri"/>
        <family val="2"/>
      </rPr>
      <t>S3.020.310</t>
    </r>
  </si>
  <si>
    <t>TI-F1-S3-0801B-UAA22</t>
  </si>
  <si>
    <r>
      <rPr>
        <sz val="11"/>
        <rFont val="Calibri"/>
        <family val="2"/>
      </rPr>
      <t>S3.020.311</t>
    </r>
  </si>
  <si>
    <t>TI-F1-S3-0801B-UAA21</t>
  </si>
  <si>
    <r>
      <rPr>
        <sz val="11"/>
        <rFont val="Calibri"/>
        <family val="2"/>
      </rPr>
      <t>S3.020.315</t>
    </r>
  </si>
  <si>
    <t>TI-F1-S3-0801B-UAA12</t>
  </si>
  <si>
    <r>
      <rPr>
        <sz val="11"/>
        <rFont val="Calibri"/>
        <family val="2"/>
      </rPr>
      <t>S3.020.319</t>
    </r>
  </si>
  <si>
    <t>TI-F1-S3-0801B-UAA15</t>
  </si>
  <si>
    <r>
      <rPr>
        <sz val="11"/>
        <rFont val="Calibri"/>
        <family val="2"/>
      </rPr>
      <t>S3.020.334</t>
    </r>
  </si>
  <si>
    <t>TI-F1-S3-0801B-UAA10</t>
  </si>
  <si>
    <r>
      <rPr>
        <sz val="11"/>
        <rFont val="Calibri"/>
        <family val="2"/>
      </rPr>
      <t>S3.020.336</t>
    </r>
  </si>
  <si>
    <t>TI-F1-S3-0801B-UAA09</t>
  </si>
  <si>
    <t>S3.020.337</t>
  </si>
  <si>
    <r>
      <rPr>
        <sz val="11"/>
        <rFont val="Calibri"/>
        <family val="2"/>
      </rPr>
      <t>S3.020.337</t>
    </r>
  </si>
  <si>
    <t>TI-F1-S3-0801B-UAA01</t>
  </si>
  <si>
    <r>
      <rPr>
        <sz val="11"/>
        <rFont val="Calibri"/>
        <family val="2"/>
      </rPr>
      <t>S3.020.338</t>
    </r>
  </si>
  <si>
    <t>TI-F1-S3-0801B-UAA08</t>
  </si>
  <si>
    <r>
      <rPr>
        <sz val="11"/>
        <rFont val="Calibri"/>
        <family val="2"/>
      </rPr>
      <t>S3.020.340</t>
    </r>
  </si>
  <si>
    <t>TI-F1-S3-0801B-UAA06</t>
  </si>
  <si>
    <r>
      <rPr>
        <sz val="11"/>
        <rFont val="Calibri"/>
        <family val="2"/>
      </rPr>
      <t>S3.020.341</t>
    </r>
  </si>
  <si>
    <t>TI-F1-S3-0801B-UAA05</t>
  </si>
  <si>
    <r>
      <rPr>
        <sz val="11"/>
        <rFont val="Calibri"/>
        <family val="2"/>
      </rPr>
      <t>S3.030.305</t>
    </r>
  </si>
  <si>
    <t>TI-F1-S3-0801B-UAA29</t>
  </si>
  <si>
    <r>
      <rPr>
        <sz val="11"/>
        <rFont val="Calibri"/>
        <family val="2"/>
      </rPr>
      <t>S3.030.310</t>
    </r>
  </si>
  <si>
    <t>TI-F1-S3-0801B-UAA33</t>
  </si>
  <si>
    <r>
      <rPr>
        <sz val="11"/>
        <rFont val="Calibri"/>
        <family val="2"/>
      </rPr>
      <t>S4.020.401</t>
    </r>
  </si>
  <si>
    <t>TI-F1-S4-0801B-UAA14</t>
  </si>
  <si>
    <t>S4.020.402</t>
  </si>
  <si>
    <r>
      <rPr>
        <sz val="11"/>
        <rFont val="Calibri"/>
        <family val="2"/>
      </rPr>
      <t>S4.020.404</t>
    </r>
  </si>
  <si>
    <t>TI-F1-S4-0801B-UAA23</t>
  </si>
  <si>
    <r>
      <rPr>
        <sz val="11"/>
        <rFont val="Calibri"/>
        <family val="2"/>
      </rPr>
      <t>S4.020.405</t>
    </r>
  </si>
  <si>
    <t>TI-F1-S4-0801B-UAA19</t>
  </si>
  <si>
    <r>
      <rPr>
        <sz val="11"/>
        <rFont val="Calibri"/>
        <family val="2"/>
      </rPr>
      <t>S4.020.406</t>
    </r>
  </si>
  <si>
    <t>TI-F1-S4-0801B-UAA20</t>
  </si>
  <si>
    <r>
      <rPr>
        <sz val="11"/>
        <rFont val="Calibri"/>
        <family val="2"/>
      </rPr>
      <t>S4.020.410</t>
    </r>
  </si>
  <si>
    <t>TI-F1-S4-0801B-UAA22</t>
  </si>
  <si>
    <r>
      <rPr>
        <sz val="11"/>
        <rFont val="Calibri"/>
        <family val="2"/>
      </rPr>
      <t>S4.020.411</t>
    </r>
  </si>
  <si>
    <t>TI-F1-S4-0801B-UAA21</t>
  </si>
  <si>
    <r>
      <rPr>
        <sz val="11"/>
        <rFont val="Calibri"/>
        <family val="2"/>
      </rPr>
      <t>S4.020.415</t>
    </r>
  </si>
  <si>
    <t>TI-F1-S4-0801B-UAA12</t>
  </si>
  <si>
    <r>
      <rPr>
        <sz val="11"/>
        <rFont val="Calibri"/>
        <family val="2"/>
      </rPr>
      <t>S4.020.419</t>
    </r>
  </si>
  <si>
    <t>TI-F1-S4-0801B-UAA15</t>
  </si>
  <si>
    <r>
      <rPr>
        <sz val="11"/>
        <rFont val="Calibri"/>
        <family val="2"/>
      </rPr>
      <t>S4.020.434</t>
    </r>
  </si>
  <si>
    <t>TI-F1-S4-0801B-UAA10</t>
  </si>
  <si>
    <r>
      <rPr>
        <sz val="11"/>
        <rFont val="Calibri"/>
        <family val="2"/>
      </rPr>
      <t>S4.020.436</t>
    </r>
  </si>
  <si>
    <t>TI-F1-S4-0801B-UAA09</t>
  </si>
  <si>
    <t>S4.020.437</t>
  </si>
  <si>
    <r>
      <rPr>
        <sz val="11"/>
        <rFont val="Calibri"/>
        <family val="2"/>
      </rPr>
      <t>S4.020.437</t>
    </r>
  </si>
  <si>
    <t>TI-F1-S4-0801B-UAA01</t>
  </si>
  <si>
    <r>
      <rPr>
        <sz val="11"/>
        <rFont val="Calibri"/>
        <family val="2"/>
      </rPr>
      <t>S4.020.438</t>
    </r>
  </si>
  <si>
    <t>TI-F1-S4-0801B-UAA08</t>
  </si>
  <si>
    <r>
      <rPr>
        <sz val="11"/>
        <rFont val="Calibri"/>
        <family val="2"/>
      </rPr>
      <t>S4.020.440</t>
    </r>
  </si>
  <si>
    <t>TI-F1-S4-0801B-UAA06</t>
  </si>
  <si>
    <r>
      <rPr>
        <sz val="11"/>
        <rFont val="Calibri"/>
        <family val="2"/>
      </rPr>
      <t>S4.020.441</t>
    </r>
  </si>
  <si>
    <t>TI-F1-S4-0801B-UAA05</t>
  </si>
  <si>
    <r>
      <rPr>
        <sz val="11"/>
        <rFont val="Calibri"/>
        <family val="2"/>
      </rPr>
      <t>S4.030.405</t>
    </r>
  </si>
  <si>
    <t>TI-F1-S4-0801B-UAA29</t>
  </si>
  <si>
    <r>
      <rPr>
        <sz val="11"/>
        <rFont val="Calibri"/>
        <family val="2"/>
      </rPr>
      <t>S4.030.410</t>
    </r>
  </si>
  <si>
    <t>TI-F1-S4-0801B-UAA33</t>
  </si>
  <si>
    <r>
      <rPr>
        <sz val="11"/>
        <rFont val="Calibri"/>
        <family val="2"/>
      </rPr>
      <t>S5.020.501</t>
    </r>
  </si>
  <si>
    <t>TI-F1-S5-0801B-UAA14</t>
  </si>
  <si>
    <t>S5.020.502</t>
  </si>
  <si>
    <r>
      <rPr>
        <sz val="11"/>
        <rFont val="Calibri"/>
        <family val="2"/>
      </rPr>
      <t>S5.020.504</t>
    </r>
  </si>
  <si>
    <t>TI-F1-S5-0801B-UAA23</t>
  </si>
  <si>
    <r>
      <rPr>
        <sz val="11"/>
        <rFont val="Calibri"/>
        <family val="2"/>
      </rPr>
      <t>S5.020.505</t>
    </r>
  </si>
  <si>
    <t>TI-F1-S5-0801B-UAA19</t>
  </si>
  <si>
    <r>
      <rPr>
        <sz val="11"/>
        <rFont val="Calibri"/>
        <family val="2"/>
      </rPr>
      <t>S5.020.506</t>
    </r>
  </si>
  <si>
    <t>TI-F1-S5-0801B-UAA20</t>
  </si>
  <si>
    <r>
      <rPr>
        <sz val="11"/>
        <rFont val="Calibri"/>
        <family val="2"/>
      </rPr>
      <t>S5.020.510</t>
    </r>
  </si>
  <si>
    <t>TI-F1-S5-0801B-UAA22</t>
  </si>
  <si>
    <r>
      <rPr>
        <sz val="11"/>
        <rFont val="Calibri"/>
        <family val="2"/>
      </rPr>
      <t>S5.020.511</t>
    </r>
  </si>
  <si>
    <t>TI-F1-S5-0801B-UAA21</t>
  </si>
  <si>
    <r>
      <rPr>
        <sz val="11"/>
        <rFont val="Calibri"/>
        <family val="2"/>
      </rPr>
      <t>S5.020.515</t>
    </r>
  </si>
  <si>
    <t>TI-F1-S5-0801B-UAA12</t>
  </si>
  <si>
    <r>
      <rPr>
        <sz val="11"/>
        <rFont val="Calibri"/>
        <family val="2"/>
      </rPr>
      <t>S5.020.519</t>
    </r>
  </si>
  <si>
    <t>TI-F1-S5-0801B-UAA15</t>
  </si>
  <si>
    <r>
      <rPr>
        <sz val="11"/>
        <rFont val="Calibri"/>
        <family val="2"/>
      </rPr>
      <t>S5.020.534</t>
    </r>
  </si>
  <si>
    <t>TI-F1-S5-0801B-UAA10</t>
  </si>
  <si>
    <r>
      <rPr>
        <sz val="11"/>
        <rFont val="Calibri"/>
        <family val="2"/>
      </rPr>
      <t>S5.020.536</t>
    </r>
  </si>
  <si>
    <t>TI-F1-S5-0801B-UAA09</t>
  </si>
  <si>
    <t>S5.020.537</t>
  </si>
  <si>
    <r>
      <rPr>
        <sz val="11"/>
        <rFont val="Calibri"/>
        <family val="2"/>
      </rPr>
      <t>S5.020.537</t>
    </r>
  </si>
  <si>
    <t>TI-F1-S5-0801B-UAA01</t>
  </si>
  <si>
    <r>
      <rPr>
        <sz val="11"/>
        <rFont val="Calibri"/>
        <family val="2"/>
      </rPr>
      <t>S5.020.538</t>
    </r>
  </si>
  <si>
    <t>TI-F1-S5-0801B-UAA08</t>
  </si>
  <si>
    <r>
      <rPr>
        <sz val="11"/>
        <rFont val="Calibri"/>
        <family val="2"/>
      </rPr>
      <t>S5.020.540</t>
    </r>
  </si>
  <si>
    <t>TI-F1-S5-0801B-UAA06</t>
  </si>
  <si>
    <r>
      <rPr>
        <sz val="11"/>
        <rFont val="Calibri"/>
        <family val="2"/>
      </rPr>
      <t>S5.020.541</t>
    </r>
  </si>
  <si>
    <t>TI-F1-S5-0801B-UAA05</t>
  </si>
  <si>
    <r>
      <rPr>
        <sz val="11"/>
        <rFont val="Calibri"/>
        <family val="2"/>
      </rPr>
      <t>S5.030.505</t>
    </r>
  </si>
  <si>
    <t>TI-F1-S5-0801B-UAA29</t>
  </si>
  <si>
    <r>
      <rPr>
        <sz val="11"/>
        <rFont val="Calibri"/>
        <family val="2"/>
      </rPr>
      <t>S5.030.510</t>
    </r>
  </si>
  <si>
    <t>TI-F1-S5-0801B-UAA33</t>
  </si>
  <si>
    <r>
      <rPr>
        <sz val="11"/>
        <rFont val="Calibri"/>
        <family val="2"/>
      </rPr>
      <t>S6.020.601</t>
    </r>
  </si>
  <si>
    <t>TI-F1-S6-0801B-UAA14</t>
  </si>
  <si>
    <t>S6.020.602</t>
  </si>
  <si>
    <r>
      <rPr>
        <sz val="11"/>
        <rFont val="Calibri"/>
        <family val="2"/>
      </rPr>
      <t>S6.020.604</t>
    </r>
  </si>
  <si>
    <t>TI-F1-S6-0801B-UAA23</t>
  </si>
  <si>
    <r>
      <rPr>
        <sz val="11"/>
        <rFont val="Calibri"/>
        <family val="2"/>
      </rPr>
      <t>S6.020.605</t>
    </r>
  </si>
  <si>
    <t>TI-F1-S6-0801B-UAA19</t>
  </si>
  <si>
    <r>
      <rPr>
        <sz val="11"/>
        <rFont val="Calibri"/>
        <family val="2"/>
      </rPr>
      <t>S6.020.606</t>
    </r>
  </si>
  <si>
    <t>TI-F1-S6-0801B-UAA20</t>
  </si>
  <si>
    <r>
      <rPr>
        <sz val="11"/>
        <rFont val="Calibri"/>
        <family val="2"/>
      </rPr>
      <t>S6.020.610</t>
    </r>
  </si>
  <si>
    <t>TI-F1-S6-0801B-UAA22</t>
  </si>
  <si>
    <r>
      <rPr>
        <sz val="11"/>
        <rFont val="Calibri"/>
        <family val="2"/>
      </rPr>
      <t>S6.020.611</t>
    </r>
  </si>
  <si>
    <t>TI-F1-S6-0801B-UAA21</t>
  </si>
  <si>
    <r>
      <rPr>
        <sz val="11"/>
        <rFont val="Calibri"/>
        <family val="2"/>
      </rPr>
      <t>S6.020.615</t>
    </r>
  </si>
  <si>
    <t>TI-F1-S6-0801B-UAA12</t>
  </si>
  <si>
    <r>
      <rPr>
        <sz val="11"/>
        <rFont val="Calibri"/>
        <family val="2"/>
      </rPr>
      <t>S6.020.619</t>
    </r>
  </si>
  <si>
    <t>TI-F1-S6-0801B-UAA15</t>
  </si>
  <si>
    <r>
      <rPr>
        <sz val="11"/>
        <rFont val="Calibri"/>
        <family val="2"/>
      </rPr>
      <t>S6.020.634</t>
    </r>
  </si>
  <si>
    <t>TI-F1-S6-0801B-UAA10</t>
  </si>
  <si>
    <r>
      <rPr>
        <sz val="11"/>
        <rFont val="Calibri"/>
        <family val="2"/>
      </rPr>
      <t>S6.020.636</t>
    </r>
  </si>
  <si>
    <t>TI-F1-S6-0801B-UAA09</t>
  </si>
  <si>
    <t>S6.020.637</t>
  </si>
  <si>
    <r>
      <rPr>
        <sz val="11"/>
        <rFont val="Calibri"/>
        <family val="2"/>
      </rPr>
      <t>S6.020.637</t>
    </r>
  </si>
  <si>
    <t>TI-F1-S6-0801B-UAA01</t>
  </si>
  <si>
    <r>
      <rPr>
        <sz val="11"/>
        <rFont val="Calibri"/>
        <family val="2"/>
      </rPr>
      <t>S6.020.638</t>
    </r>
  </si>
  <si>
    <t>TI-F1-S6-0801B-UAA08</t>
  </si>
  <si>
    <r>
      <rPr>
        <sz val="11"/>
        <rFont val="Calibri"/>
        <family val="2"/>
      </rPr>
      <t>S6.020.640</t>
    </r>
  </si>
  <si>
    <t>TI-F1-S6-0801B-UAA06</t>
  </si>
  <si>
    <r>
      <rPr>
        <sz val="11"/>
        <rFont val="Calibri"/>
        <family val="2"/>
      </rPr>
      <t>S6.020.641</t>
    </r>
  </si>
  <si>
    <t>TI-F1-S6-0801B-UAA05</t>
  </si>
  <si>
    <r>
      <rPr>
        <sz val="11"/>
        <rFont val="Calibri"/>
        <family val="2"/>
      </rPr>
      <t>S6.030.605</t>
    </r>
  </si>
  <si>
    <t>TI-F1-S6-0801B-UAA29</t>
  </si>
  <si>
    <r>
      <rPr>
        <sz val="11"/>
        <rFont val="Calibri"/>
        <family val="2"/>
      </rPr>
      <t>S6.030.610</t>
    </r>
  </si>
  <si>
    <t>TI-F1-S6-0801B-UAA33</t>
  </si>
  <si>
    <r>
      <rPr>
        <sz val="11"/>
        <rFont val="Calibri"/>
        <family val="2"/>
      </rPr>
      <t>S7.020.701</t>
    </r>
  </si>
  <si>
    <t>TI-F1-S7-0801B-UAA14</t>
  </si>
  <si>
    <t>S7.020.702</t>
  </si>
  <si>
    <r>
      <rPr>
        <sz val="11"/>
        <rFont val="Calibri"/>
        <family val="2"/>
      </rPr>
      <t>S7.020.704</t>
    </r>
  </si>
  <si>
    <t>TI-F1-S7-0801B-UAA23</t>
  </si>
  <si>
    <r>
      <rPr>
        <sz val="11"/>
        <rFont val="Calibri"/>
        <family val="2"/>
      </rPr>
      <t>S7.020.705</t>
    </r>
  </si>
  <si>
    <t>TI-F1-S7-0801B-UAA19</t>
  </si>
  <si>
    <r>
      <rPr>
        <sz val="11"/>
        <rFont val="Calibri"/>
        <family val="2"/>
      </rPr>
      <t>S7.020.706</t>
    </r>
  </si>
  <si>
    <t>TI-F1-S7-0801B-UAA20</t>
  </si>
  <si>
    <r>
      <rPr>
        <sz val="11"/>
        <rFont val="Calibri"/>
        <family val="2"/>
      </rPr>
      <t>S7.020.710</t>
    </r>
  </si>
  <si>
    <t>TI-F1-S7-0801B-UAA22</t>
  </si>
  <si>
    <r>
      <rPr>
        <sz val="11"/>
        <rFont val="Calibri"/>
        <family val="2"/>
      </rPr>
      <t>S7.020.711</t>
    </r>
  </si>
  <si>
    <t>TI-F1-S7-0801B-UAA21</t>
  </si>
  <si>
    <r>
      <rPr>
        <sz val="11"/>
        <rFont val="Calibri"/>
        <family val="2"/>
      </rPr>
      <t>S7.020.715</t>
    </r>
  </si>
  <si>
    <t>TI-F1-S7-0801B-UAA12</t>
  </si>
  <si>
    <r>
      <rPr>
        <sz val="11"/>
        <rFont val="Calibri"/>
        <family val="2"/>
      </rPr>
      <t>S7.020.719</t>
    </r>
  </si>
  <si>
    <t>TI-F1-S7-0801B-UAA15</t>
  </si>
  <si>
    <r>
      <rPr>
        <sz val="11"/>
        <rFont val="Calibri"/>
        <family val="2"/>
      </rPr>
      <t>S7.020.734</t>
    </r>
  </si>
  <si>
    <t>TI-F1-S7-0801B-UAA10</t>
  </si>
  <si>
    <r>
      <rPr>
        <sz val="11"/>
        <rFont val="Calibri"/>
        <family val="2"/>
      </rPr>
      <t>S7.020.736</t>
    </r>
  </si>
  <si>
    <t>TI-F1-S7-0801B-UAA09</t>
  </si>
  <si>
    <t>S7.020.737</t>
  </si>
  <si>
    <r>
      <rPr>
        <sz val="11"/>
        <rFont val="Calibri"/>
        <family val="2"/>
      </rPr>
      <t>S7.020.737</t>
    </r>
  </si>
  <si>
    <t>TI-F1-S7-0801B-UAA01</t>
  </si>
  <si>
    <r>
      <rPr>
        <sz val="11"/>
        <rFont val="Calibri"/>
        <family val="2"/>
      </rPr>
      <t>S7.020.738</t>
    </r>
  </si>
  <si>
    <t>TI-F1-S7-0801B-UAA08</t>
  </si>
  <si>
    <r>
      <rPr>
        <sz val="11"/>
        <rFont val="Calibri"/>
        <family val="2"/>
      </rPr>
      <t>S7.020.740</t>
    </r>
  </si>
  <si>
    <t>TI-F1-S7-0801B-UAA06</t>
  </si>
  <si>
    <r>
      <rPr>
        <sz val="11"/>
        <rFont val="Calibri"/>
        <family val="2"/>
      </rPr>
      <t>S7.020.741</t>
    </r>
  </si>
  <si>
    <t>TI-F1-S7-0801B-UAA05</t>
  </si>
  <si>
    <r>
      <rPr>
        <sz val="11"/>
        <rFont val="Calibri"/>
        <family val="2"/>
      </rPr>
      <t>S7.030.705</t>
    </r>
  </si>
  <si>
    <t>TI-F1-S7-0801B-UAA29</t>
  </si>
  <si>
    <r>
      <rPr>
        <sz val="11"/>
        <rFont val="Calibri"/>
        <family val="2"/>
      </rPr>
      <t>S7.030.710</t>
    </r>
  </si>
  <si>
    <t>TI-F1-S7-0801B-UAA33</t>
  </si>
  <si>
    <r>
      <rPr>
        <sz val="11"/>
        <rFont val="Calibri"/>
        <family val="2"/>
      </rPr>
      <t>S8.020.801</t>
    </r>
  </si>
  <si>
    <t>TI-F1-S8-0801B-UAA14</t>
  </si>
  <si>
    <t>S8.020.802</t>
  </si>
  <si>
    <r>
      <rPr>
        <sz val="11"/>
        <rFont val="Calibri"/>
        <family val="2"/>
      </rPr>
      <t>S8.020.804</t>
    </r>
  </si>
  <si>
    <t>TI-F1-S8-0801B-UAA23</t>
  </si>
  <si>
    <r>
      <rPr>
        <sz val="11"/>
        <rFont val="Calibri"/>
        <family val="2"/>
      </rPr>
      <t>S8.020.805</t>
    </r>
  </si>
  <si>
    <t>TI-F1-S8-0801B-UAA19</t>
  </si>
  <si>
    <r>
      <rPr>
        <sz val="11"/>
        <rFont val="Calibri"/>
        <family val="2"/>
      </rPr>
      <t>S8.020.806</t>
    </r>
  </si>
  <si>
    <t>TI-F1-S8-0801B-UAA20</t>
  </si>
  <si>
    <r>
      <rPr>
        <sz val="11"/>
        <rFont val="Calibri"/>
        <family val="2"/>
      </rPr>
      <t>S8.020.810</t>
    </r>
  </si>
  <si>
    <t>TI-F1-S8-0801B-UAA22</t>
  </si>
  <si>
    <r>
      <rPr>
        <sz val="11"/>
        <rFont val="Calibri"/>
        <family val="2"/>
      </rPr>
      <t>S8.020.811</t>
    </r>
  </si>
  <si>
    <t>TI-F1-S8-0801B-UAA21</t>
  </si>
  <si>
    <r>
      <rPr>
        <sz val="11"/>
        <rFont val="Calibri"/>
        <family val="2"/>
      </rPr>
      <t>S8.020.815</t>
    </r>
  </si>
  <si>
    <t>TI-F1-S8-0801B-UAA12</t>
  </si>
  <si>
    <r>
      <rPr>
        <sz val="11"/>
        <rFont val="Calibri"/>
        <family val="2"/>
      </rPr>
      <t>S8.020.819</t>
    </r>
  </si>
  <si>
    <t>TI-F1-S8-0801B-UAA15</t>
  </si>
  <si>
    <r>
      <rPr>
        <sz val="11"/>
        <rFont val="Calibri"/>
        <family val="2"/>
      </rPr>
      <t>S8.020.834</t>
    </r>
  </si>
  <si>
    <t>TI-F1-S8-0801B-UAA10</t>
  </si>
  <si>
    <r>
      <rPr>
        <sz val="11"/>
        <rFont val="Calibri"/>
        <family val="2"/>
      </rPr>
      <t>S8.020.836</t>
    </r>
  </si>
  <si>
    <t>TI-F1-S8-0801B-UAA09</t>
  </si>
  <si>
    <t>S8.020.837</t>
  </si>
  <si>
    <r>
      <rPr>
        <sz val="11"/>
        <rFont val="Calibri"/>
        <family val="2"/>
      </rPr>
      <t>S8.020.837</t>
    </r>
  </si>
  <si>
    <t>TI-F1-S8-0801B-UAA01</t>
  </si>
  <si>
    <r>
      <rPr>
        <sz val="11"/>
        <rFont val="Calibri"/>
        <family val="2"/>
      </rPr>
      <t>S8.020.838</t>
    </r>
  </si>
  <si>
    <t>TI-F1-S8-0801B-UAA08</t>
  </si>
  <si>
    <r>
      <rPr>
        <sz val="11"/>
        <rFont val="Calibri"/>
        <family val="2"/>
      </rPr>
      <t>S8.020.840</t>
    </r>
  </si>
  <si>
    <t>TI-F1-S8-0801B-UAA06</t>
  </si>
  <si>
    <r>
      <rPr>
        <sz val="11"/>
        <rFont val="Calibri"/>
        <family val="2"/>
      </rPr>
      <t>S8.020.841</t>
    </r>
  </si>
  <si>
    <t>TI-F1-S8-0801B-UAA05</t>
  </si>
  <si>
    <r>
      <rPr>
        <sz val="11"/>
        <rFont val="Calibri"/>
        <family val="2"/>
      </rPr>
      <t>S8.030.805</t>
    </r>
  </si>
  <si>
    <t>TI-F1-S8-0801B-UAA29</t>
  </si>
  <si>
    <r>
      <rPr>
        <sz val="11"/>
        <rFont val="Calibri"/>
        <family val="2"/>
      </rPr>
      <t>S8.030.810</t>
    </r>
  </si>
  <si>
    <t>TI-F1-S8-0801B-UAA33</t>
  </si>
  <si>
    <r>
      <rPr>
        <b/>
        <sz val="11"/>
        <rFont val="Calibri"/>
        <family val="2"/>
      </rPr>
      <t>Zone type 05</t>
    </r>
  </si>
  <si>
    <r>
      <rPr>
        <sz val="11"/>
        <rFont val="Calibri"/>
        <family val="2"/>
      </rPr>
      <t>S1.020.113</t>
    </r>
  </si>
  <si>
    <t>TI-F1-S1-0801B-UAA27</t>
  </si>
  <si>
    <t>05</t>
  </si>
  <si>
    <r>
      <rPr>
        <sz val="11"/>
        <rFont val="Calibri"/>
        <family val="2"/>
      </rPr>
      <t>S1.020.114</t>
    </r>
  </si>
  <si>
    <t>TI-F1-S1-0801B-UAA26</t>
  </si>
  <si>
    <r>
      <rPr>
        <sz val="11"/>
        <rFont val="Calibri"/>
        <family val="2"/>
      </rPr>
      <t>S2.020.213</t>
    </r>
  </si>
  <si>
    <t>TI-F1-S2-0801B-UAA27</t>
  </si>
  <si>
    <r>
      <rPr>
        <sz val="11"/>
        <rFont val="Calibri"/>
        <family val="2"/>
      </rPr>
      <t>S2.020.214</t>
    </r>
  </si>
  <si>
    <t>TI-F1-S2-0801B-UAA26</t>
  </si>
  <si>
    <r>
      <rPr>
        <sz val="11"/>
        <rFont val="Calibri"/>
        <family val="2"/>
      </rPr>
      <t>S3.020.313</t>
    </r>
  </si>
  <si>
    <t>TI-F1-S3-0801B-UAA27</t>
  </si>
  <si>
    <r>
      <rPr>
        <sz val="11"/>
        <rFont val="Calibri"/>
        <family val="2"/>
      </rPr>
      <t>S3.020.314</t>
    </r>
  </si>
  <si>
    <t>TI-F1-S3-0801B-UAA26</t>
  </si>
  <si>
    <r>
      <rPr>
        <sz val="11"/>
        <rFont val="Calibri"/>
        <family val="2"/>
      </rPr>
      <t>S4.020.413</t>
    </r>
  </si>
  <si>
    <t>TI-F1-S4-0801B-UAA27</t>
  </si>
  <si>
    <r>
      <rPr>
        <sz val="11"/>
        <rFont val="Calibri"/>
        <family val="2"/>
      </rPr>
      <t>S4.020.414</t>
    </r>
  </si>
  <si>
    <t>TI-F1-S4-0801B-UAA26</t>
  </si>
  <si>
    <r>
      <rPr>
        <sz val="11"/>
        <rFont val="Calibri"/>
        <family val="2"/>
      </rPr>
      <t>S5.020.513</t>
    </r>
  </si>
  <si>
    <t>TI-F1-S5-0801B-UAA27</t>
  </si>
  <si>
    <r>
      <rPr>
        <sz val="11"/>
        <rFont val="Calibri"/>
        <family val="2"/>
      </rPr>
      <t>S5.020.514</t>
    </r>
  </si>
  <si>
    <t>TI-F1-S5-0801B-UAA26</t>
  </si>
  <si>
    <r>
      <rPr>
        <sz val="11"/>
        <rFont val="Calibri"/>
        <family val="2"/>
      </rPr>
      <t>S6.020.613</t>
    </r>
  </si>
  <si>
    <t>TI-F1-S6-0801B-UAA27</t>
  </si>
  <si>
    <r>
      <rPr>
        <sz val="11"/>
        <rFont val="Calibri"/>
        <family val="2"/>
      </rPr>
      <t>S6.020.614</t>
    </r>
  </si>
  <si>
    <t>TI-F1-S6-0801B-UAA26</t>
  </si>
  <si>
    <r>
      <rPr>
        <sz val="11"/>
        <rFont val="Calibri"/>
        <family val="2"/>
      </rPr>
      <t>S7.020.713</t>
    </r>
  </si>
  <si>
    <t>TI-F1-S7-0801B-UAA27</t>
  </si>
  <si>
    <r>
      <rPr>
        <sz val="11"/>
        <rFont val="Calibri"/>
        <family val="2"/>
      </rPr>
      <t>S7.020.714</t>
    </r>
  </si>
  <si>
    <t>TI-F1-S7-0801B-UAA26</t>
  </si>
  <si>
    <r>
      <rPr>
        <sz val="11"/>
        <rFont val="Calibri"/>
        <family val="2"/>
      </rPr>
      <t>S8.020.813</t>
    </r>
  </si>
  <si>
    <t>TI-F1-S8-0801B-UAA27</t>
  </si>
  <si>
    <r>
      <rPr>
        <sz val="11"/>
        <rFont val="Calibri"/>
        <family val="2"/>
      </rPr>
      <t>S8.020.814</t>
    </r>
  </si>
  <si>
    <t>TI-F1-S8-0801B-UAA26</t>
  </si>
  <si>
    <t>Zone type 06</t>
  </si>
  <si>
    <r>
      <rPr>
        <sz val="11"/>
        <rFont val="Calibri"/>
        <family val="2"/>
      </rPr>
      <t>A2.030.020</t>
    </r>
  </si>
  <si>
    <t>TI-F1-A2-0801B-UAA46</t>
  </si>
  <si>
    <t>06</t>
  </si>
  <si>
    <t>A2.030.033</t>
  </si>
  <si>
    <t>Zone type 07</t>
  </si>
  <si>
    <r>
      <rPr>
        <sz val="11"/>
        <rFont val="Calibri"/>
        <family val="2"/>
      </rPr>
      <t>A1.020.001</t>
    </r>
  </si>
  <si>
    <t>TI-F1-A1-0801B-UAA20</t>
  </si>
  <si>
    <t>07</t>
  </si>
  <si>
    <r>
      <rPr>
        <sz val="11"/>
        <rFont val="Calibri"/>
        <family val="2"/>
      </rPr>
      <t>A1.020.008</t>
    </r>
  </si>
  <si>
    <t>TI-F1-A1-0801B-UAA18</t>
  </si>
  <si>
    <t>A1.020.010</t>
  </si>
  <si>
    <t>TI-F1-A1-0801B-UAA19</t>
  </si>
  <si>
    <r>
      <rPr>
        <sz val="11"/>
        <rFont val="Calibri"/>
        <family val="2"/>
      </rPr>
      <t>A1.020.086</t>
    </r>
  </si>
  <si>
    <t>TI-F1-A1-0801B-UAA23</t>
  </si>
  <si>
    <r>
      <rPr>
        <sz val="11"/>
        <rFont val="Calibri"/>
        <family val="2"/>
      </rPr>
      <t>A1.020.087</t>
    </r>
  </si>
  <si>
    <t>TI-F1-A1-0801B-UAA25</t>
  </si>
  <si>
    <r>
      <rPr>
        <sz val="11"/>
        <rFont val="Calibri"/>
        <family val="2"/>
      </rPr>
      <t>A2.020.008</t>
    </r>
  </si>
  <si>
    <t>TI-F1-A2-0801B-UAA15</t>
  </si>
  <si>
    <r>
      <rPr>
        <sz val="11"/>
        <rFont val="Calibri"/>
        <family val="2"/>
      </rPr>
      <t>A2.020.020</t>
    </r>
  </si>
  <si>
    <t>TI-F1-A2-0801B-UAA14</t>
  </si>
  <si>
    <t>A2.020.057</t>
  </si>
  <si>
    <t>TI-F1-A2-0801B-UAA16</t>
  </si>
  <si>
    <r>
      <rPr>
        <sz val="11"/>
        <rFont val="Calibri"/>
        <family val="2"/>
      </rPr>
      <t>S1.020.112</t>
    </r>
  </si>
  <si>
    <t>TI-F1-S1-0801B-UAA25</t>
  </si>
  <si>
    <r>
      <rPr>
        <sz val="11"/>
        <rFont val="Calibri"/>
        <family val="2"/>
      </rPr>
      <t>S1.020.120</t>
    </r>
  </si>
  <si>
    <t>TI-F1-S1-0801B-UAA24</t>
  </si>
  <si>
    <r>
      <rPr>
        <sz val="11"/>
        <rFont val="Calibri"/>
        <family val="2"/>
      </rPr>
      <t>S1.020.128</t>
    </r>
  </si>
  <si>
    <t>TI-F1-S1-0801B-UAA28</t>
  </si>
  <si>
    <r>
      <rPr>
        <sz val="11"/>
        <rFont val="Calibri"/>
        <family val="2"/>
      </rPr>
      <t>S2.020.212</t>
    </r>
  </si>
  <si>
    <t>TI-F1-S2-0801B-UAA25</t>
  </si>
  <si>
    <r>
      <rPr>
        <sz val="11"/>
        <rFont val="Calibri"/>
        <family val="2"/>
      </rPr>
      <t>S2.020.220</t>
    </r>
  </si>
  <si>
    <t>TI-F1-S2-0801B-UAA24</t>
  </si>
  <si>
    <r>
      <rPr>
        <sz val="11"/>
        <rFont val="Calibri"/>
        <family val="2"/>
      </rPr>
      <t>S2.020.228</t>
    </r>
  </si>
  <si>
    <t>TI-F1-S2-0801B-UAA28</t>
  </si>
  <si>
    <r>
      <rPr>
        <sz val="11"/>
        <rFont val="Calibri"/>
        <family val="2"/>
      </rPr>
      <t>S3.020.312</t>
    </r>
  </si>
  <si>
    <t>TI-F1-S3-0801B-UAA25</t>
  </si>
  <si>
    <r>
      <rPr>
        <sz val="11"/>
        <rFont val="Calibri"/>
        <family val="2"/>
      </rPr>
      <t>S3.020.320</t>
    </r>
  </si>
  <si>
    <t>TI-F1-S3-0801B-UAA24</t>
  </si>
  <si>
    <r>
      <rPr>
        <sz val="11"/>
        <rFont val="Calibri"/>
        <family val="2"/>
      </rPr>
      <t>S3.020.328</t>
    </r>
  </si>
  <si>
    <t>TI-F1-S3-0801B-UAA28</t>
  </si>
  <si>
    <r>
      <rPr>
        <sz val="11"/>
        <rFont val="Calibri"/>
        <family val="2"/>
      </rPr>
      <t>S4.020.412</t>
    </r>
  </si>
  <si>
    <t>TI-F1-S4-0801B-UAA25</t>
  </si>
  <si>
    <r>
      <rPr>
        <sz val="11"/>
        <rFont val="Calibri"/>
        <family val="2"/>
      </rPr>
      <t>S4.020.420</t>
    </r>
  </si>
  <si>
    <t>TI-F1-S4-0801B-UAA24</t>
  </si>
  <si>
    <r>
      <rPr>
        <sz val="11"/>
        <rFont val="Calibri"/>
        <family val="2"/>
      </rPr>
      <t>S4.020.428</t>
    </r>
  </si>
  <si>
    <t>TI-F1-S4-0801B-UAA28</t>
  </si>
  <si>
    <r>
      <rPr>
        <sz val="11"/>
        <rFont val="Calibri"/>
        <family val="2"/>
      </rPr>
      <t>S5.020.512</t>
    </r>
  </si>
  <si>
    <t>TI-F1-S5-0801B-UAA25</t>
  </si>
  <si>
    <r>
      <rPr>
        <sz val="11"/>
        <rFont val="Calibri"/>
        <family val="2"/>
      </rPr>
      <t>S5.020.520</t>
    </r>
  </si>
  <si>
    <t>TI-F1-S5-0801B-UAA24</t>
  </si>
  <si>
    <r>
      <rPr>
        <sz val="11"/>
        <rFont val="Calibri"/>
        <family val="2"/>
      </rPr>
      <t>S5.020.528</t>
    </r>
  </si>
  <si>
    <t>TI-F1-S5-0801B-UAA28</t>
  </si>
  <si>
    <r>
      <rPr>
        <sz val="11"/>
        <rFont val="Calibri"/>
        <family val="2"/>
      </rPr>
      <t>S6.020.612</t>
    </r>
  </si>
  <si>
    <t>TI-F1-S6-0801B-UAA25</t>
  </si>
  <si>
    <r>
      <rPr>
        <sz val="11"/>
        <rFont val="Calibri"/>
        <family val="2"/>
      </rPr>
      <t>S6.020.620</t>
    </r>
  </si>
  <si>
    <t>TI-F1-S6-0801B-UAA24</t>
  </si>
  <si>
    <r>
      <rPr>
        <sz val="11"/>
        <rFont val="Calibri"/>
        <family val="2"/>
      </rPr>
      <t>S6.020.628</t>
    </r>
  </si>
  <si>
    <t>TI-F1-S6-0801B-UAA28</t>
  </si>
  <si>
    <r>
      <rPr>
        <sz val="11"/>
        <rFont val="Calibri"/>
        <family val="2"/>
      </rPr>
      <t>S7.020.712</t>
    </r>
  </si>
  <si>
    <t>TI-F1-S7-0801B-UAA25</t>
  </si>
  <si>
    <r>
      <rPr>
        <sz val="11"/>
        <rFont val="Calibri"/>
        <family val="2"/>
      </rPr>
      <t>S7.020.720</t>
    </r>
  </si>
  <si>
    <t>TI-F1-S7-0801B-UAA24</t>
  </si>
  <si>
    <r>
      <rPr>
        <sz val="11"/>
        <rFont val="Calibri"/>
        <family val="2"/>
      </rPr>
      <t>S7.020.728</t>
    </r>
  </si>
  <si>
    <t>TI-F1-S7-0801B-UAA28</t>
  </si>
  <si>
    <r>
      <rPr>
        <sz val="11"/>
        <rFont val="Calibri"/>
        <family val="2"/>
      </rPr>
      <t>S8.020.812</t>
    </r>
  </si>
  <si>
    <t>TI-F1-S8-0801B-UAA25</t>
  </si>
  <si>
    <r>
      <rPr>
        <sz val="11"/>
        <rFont val="Calibri"/>
        <family val="2"/>
      </rPr>
      <t>S8.020.820</t>
    </r>
  </si>
  <si>
    <t>TI-F1-S8-0801B-UAA24</t>
  </si>
  <si>
    <r>
      <rPr>
        <sz val="11"/>
        <rFont val="Calibri"/>
        <family val="2"/>
      </rPr>
      <t>S8.020.828</t>
    </r>
  </si>
  <si>
    <t>TI-F1-S8-0801B-UAA28</t>
  </si>
  <si>
    <t>Zone type 08</t>
  </si>
  <si>
    <r>
      <rPr>
        <sz val="11"/>
        <rFont val="Calibri"/>
        <family val="2"/>
      </rPr>
      <t>S1.020.100</t>
    </r>
  </si>
  <si>
    <t>TI-F1-S1-0801B-UAA18</t>
  </si>
  <si>
    <t>08</t>
  </si>
  <si>
    <r>
      <rPr>
        <sz val="11"/>
        <rFont val="Calibri"/>
        <family val="2"/>
      </rPr>
      <t>S2.020.200</t>
    </r>
  </si>
  <si>
    <t>TI-F1-S2-0801B-UAA18</t>
  </si>
  <si>
    <r>
      <rPr>
        <sz val="11"/>
        <rFont val="Calibri"/>
        <family val="2"/>
      </rPr>
      <t>S3.020.300</t>
    </r>
  </si>
  <si>
    <t>TI-F1-S3-0801B-UAA18</t>
  </si>
  <si>
    <r>
      <rPr>
        <sz val="11"/>
        <rFont val="Calibri"/>
        <family val="2"/>
      </rPr>
      <t>S4.020.400</t>
    </r>
  </si>
  <si>
    <t>TI-F1-S4-0801B-UAA18</t>
  </si>
  <si>
    <r>
      <rPr>
        <sz val="11"/>
        <rFont val="Calibri"/>
        <family val="2"/>
      </rPr>
      <t>S5.020.500</t>
    </r>
  </si>
  <si>
    <t>TI-F1-S5-0801B-UAA18</t>
  </si>
  <si>
    <r>
      <rPr>
        <sz val="11"/>
        <rFont val="Calibri"/>
        <family val="2"/>
      </rPr>
      <t>S6.020.600</t>
    </r>
  </si>
  <si>
    <t>TI-F1-S6-0801B-UAA18</t>
  </si>
  <si>
    <r>
      <rPr>
        <sz val="11"/>
        <rFont val="Calibri"/>
        <family val="2"/>
      </rPr>
      <t>S7.020.700</t>
    </r>
  </si>
  <si>
    <t>TI-F1-S7-0801B-UAA18</t>
  </si>
  <si>
    <r>
      <rPr>
        <sz val="11"/>
        <rFont val="Calibri"/>
        <family val="2"/>
      </rPr>
      <t>S8.020.800</t>
    </r>
  </si>
  <si>
    <t>TI-F1-S8-0801B-UAA18</t>
  </si>
  <si>
    <r>
      <rPr>
        <b/>
        <sz val="11"/>
        <rFont val="Calibri"/>
        <family val="2"/>
      </rPr>
      <t>Zone type 09</t>
    </r>
  </si>
  <si>
    <r>
      <rPr>
        <sz val="11"/>
        <rFont val="Calibri"/>
        <family val="2"/>
      </rPr>
      <t>A1.030.038</t>
    </r>
  </si>
  <si>
    <t>TI-F1-A1-0801B-UAA43</t>
  </si>
  <si>
    <t>B</t>
  </si>
  <si>
    <t>09</t>
  </si>
  <si>
    <t>A1.030.039</t>
  </si>
  <si>
    <t>A2.030.030</t>
  </si>
  <si>
    <t>TI-F1-A2-0801B-UAA44</t>
  </si>
  <si>
    <t>A2.030.031</t>
  </si>
  <si>
    <r>
      <rPr>
        <b/>
        <sz val="11"/>
        <rFont val="Calibri"/>
        <family val="2"/>
      </rPr>
      <t>Zone type 10</t>
    </r>
  </si>
  <si>
    <t>A1.030.028</t>
  </si>
  <si>
    <t>TI-F1-A1-0801B-UAA63</t>
  </si>
  <si>
    <t>10</t>
  </si>
  <si>
    <r>
      <rPr>
        <sz val="11"/>
        <rFont val="Calibri"/>
        <family val="2"/>
      </rPr>
      <t>A1.030.029</t>
    </r>
  </si>
  <si>
    <t>TI-F1-A1-0801B-UAA62</t>
  </si>
  <si>
    <r>
      <rPr>
        <sz val="11"/>
        <rFont val="Calibri"/>
        <family val="2"/>
      </rPr>
      <t>A1.030.030</t>
    </r>
  </si>
  <si>
    <t>TI-F1-A1-0801B-UAA61</t>
  </si>
  <si>
    <r>
      <rPr>
        <sz val="11"/>
        <rFont val="Calibri"/>
        <family val="2"/>
      </rPr>
      <t>A1.030.034</t>
    </r>
  </si>
  <si>
    <t>TI-F1-A1-0801B-UAA37</t>
  </si>
  <si>
    <r>
      <rPr>
        <sz val="11"/>
        <rFont val="Calibri"/>
        <family val="2"/>
      </rPr>
      <t>A1.030.035</t>
    </r>
  </si>
  <si>
    <t>TI-F1-A1-0801B-UAA39</t>
  </si>
  <si>
    <r>
      <rPr>
        <sz val="11"/>
        <rFont val="Calibri"/>
        <family val="2"/>
      </rPr>
      <t>A1.030.036</t>
    </r>
  </si>
  <si>
    <t>TI-F1-A1-0801B-UAA38</t>
  </si>
  <si>
    <r>
      <rPr>
        <sz val="11"/>
        <rFont val="Calibri"/>
        <family val="2"/>
      </rPr>
      <t>A1.030.037</t>
    </r>
  </si>
  <si>
    <t>TI-F1-A1-0801B-UAA40</t>
  </si>
  <si>
    <r>
      <rPr>
        <sz val="11"/>
        <rFont val="Calibri"/>
        <family val="2"/>
      </rPr>
      <t>A1.030.040</t>
    </r>
  </si>
  <si>
    <t>TI-F1-A1-0801B-UAA42</t>
  </si>
  <si>
    <r>
      <rPr>
        <sz val="11"/>
        <rFont val="Calibri"/>
        <family val="2"/>
      </rPr>
      <t>A1.030.041</t>
    </r>
  </si>
  <si>
    <t>TI-F1-A1-0801B-UAA45</t>
  </si>
  <si>
    <r>
      <rPr>
        <sz val="11"/>
        <rFont val="Calibri"/>
        <family val="2"/>
      </rPr>
      <t>A1.030.042</t>
    </r>
  </si>
  <si>
    <t>TI-F1-A1-0801B-UAA46</t>
  </si>
  <si>
    <r>
      <rPr>
        <sz val="11"/>
        <rFont val="Calibri"/>
        <family val="2"/>
      </rPr>
      <t>A1.030.043</t>
    </r>
  </si>
  <si>
    <t>TI-F1-A1-0801B-UAA49</t>
  </si>
  <si>
    <r>
      <rPr>
        <sz val="11"/>
        <rFont val="Calibri"/>
        <family val="2"/>
      </rPr>
      <t>A1.030.044</t>
    </r>
  </si>
  <si>
    <t>TI-F1-A1-0801B-UAA52</t>
  </si>
  <si>
    <r>
      <rPr>
        <sz val="11"/>
        <rFont val="Calibri"/>
        <family val="2"/>
      </rPr>
      <t>A1.030.045</t>
    </r>
  </si>
  <si>
    <t>TI-F1-A1-0801B-UAA53</t>
  </si>
  <si>
    <t>A2.030.001</t>
  </si>
  <si>
    <t>TI-F1-A2-0801B-UAA57</t>
  </si>
  <si>
    <t>Tilkommet se PN551</t>
  </si>
  <si>
    <t>A2.030.027</t>
  </si>
  <si>
    <t>TI-F1-A2-0801B-UAA50</t>
  </si>
  <si>
    <r>
      <rPr>
        <sz val="11"/>
        <rFont val="Calibri"/>
        <family val="2"/>
      </rPr>
      <t>A2.030.028</t>
    </r>
  </si>
  <si>
    <t>TI-F1-A2-0801B-UAA49</t>
  </si>
  <si>
    <r>
      <rPr>
        <sz val="11"/>
        <rFont val="Calibri"/>
        <family val="2"/>
      </rPr>
      <t>A2.030.029</t>
    </r>
  </si>
  <si>
    <t>TI-F1-A2-0801B-UAA47</t>
  </si>
  <si>
    <t>TI-F1-A2-0801B-UAA38</t>
  </si>
  <si>
    <r>
      <rPr>
        <sz val="11"/>
        <rFont val="Calibri"/>
        <family val="2"/>
      </rPr>
      <t>A2.030.032</t>
    </r>
  </si>
  <si>
    <t>TI-F1-A2-0801B-UAA36</t>
  </si>
  <si>
    <r>
      <rPr>
        <sz val="11"/>
        <rFont val="Calibri"/>
        <family val="2"/>
      </rPr>
      <t>A2.030.033</t>
    </r>
  </si>
  <si>
    <t>TI-F1-A2-0801B-UAA45</t>
  </si>
  <si>
    <r>
      <rPr>
        <sz val="11"/>
        <rFont val="Calibri"/>
        <family val="2"/>
      </rPr>
      <t>A2.030.034</t>
    </r>
  </si>
  <si>
    <t>TI-F1-A2-0801B-UAA37</t>
  </si>
  <si>
    <r>
      <rPr>
        <sz val="11"/>
        <rFont val="Calibri"/>
        <family val="2"/>
      </rPr>
      <t>A2.030.038</t>
    </r>
  </si>
  <si>
    <t>TI-F1-A2-0801B-UAA41</t>
  </si>
  <si>
    <r>
      <rPr>
        <sz val="11"/>
        <rFont val="Calibri"/>
        <family val="2"/>
      </rPr>
      <t>A2.030.039</t>
    </r>
  </si>
  <si>
    <t>TI-F1-A2-0801B-UAA43</t>
  </si>
  <si>
    <r>
      <rPr>
        <sz val="11"/>
        <rFont val="Calibri"/>
        <family val="2"/>
      </rPr>
      <t>A2.030.040</t>
    </r>
  </si>
  <si>
    <t>TI-F1-A2-0801B-UAA39</t>
  </si>
  <si>
    <r>
      <rPr>
        <b/>
        <sz val="11"/>
        <rFont val="Calibri"/>
        <family val="2"/>
      </rPr>
      <t>Zone type 11</t>
    </r>
  </si>
  <si>
    <r>
      <rPr>
        <sz val="11"/>
        <rFont val="Calibri"/>
        <family val="2"/>
      </rPr>
      <t>A1.020.052</t>
    </r>
  </si>
  <si>
    <t>TI-F1-A1-0801B-UAA07</t>
  </si>
  <si>
    <t>11</t>
  </si>
  <si>
    <r>
      <rPr>
        <b/>
        <sz val="11"/>
        <rFont val="Calibri"/>
        <family val="2"/>
      </rPr>
      <t>Zone type 12</t>
    </r>
  </si>
  <si>
    <t>A1.020.105</t>
  </si>
  <si>
    <t>TI-F1-A1-0801B-UAA12</t>
  </si>
  <si>
    <t>12</t>
  </si>
  <si>
    <t>Bruger PIR i</t>
  </si>
  <si>
    <r>
      <rPr>
        <sz val="11"/>
        <rFont val="Calibri"/>
        <family val="2"/>
      </rPr>
      <t>A2.030.006</t>
    </r>
  </si>
  <si>
    <t>TI-F1-A2-0801B-UAA29</t>
  </si>
  <si>
    <t>gang</t>
  </si>
  <si>
    <t>S1.020.144</t>
  </si>
  <si>
    <t>TI-F1-S1-0801B-UAA04</t>
  </si>
  <si>
    <r>
      <rPr>
        <sz val="11"/>
        <rFont val="Calibri"/>
        <family val="2"/>
      </rPr>
      <t>S2.020.244</t>
    </r>
  </si>
  <si>
    <t>TI-F1-S2-0801B-UAA04</t>
  </si>
  <si>
    <r>
      <rPr>
        <sz val="11"/>
        <rFont val="Calibri"/>
        <family val="2"/>
      </rPr>
      <t>S3.020.344</t>
    </r>
  </si>
  <si>
    <t>TI-F1-S3-0801B-UAA04</t>
  </si>
  <si>
    <r>
      <rPr>
        <sz val="11"/>
        <rFont val="Calibri"/>
        <family val="2"/>
      </rPr>
      <t>S4.020.444</t>
    </r>
  </si>
  <si>
    <t>TI-F1-S4-0801B-UAA04</t>
  </si>
  <si>
    <r>
      <rPr>
        <sz val="11"/>
        <rFont val="Calibri"/>
        <family val="2"/>
      </rPr>
      <t>S5.020.544</t>
    </r>
  </si>
  <si>
    <t>TI-F1-S5-0801B-UAA04</t>
  </si>
  <si>
    <r>
      <rPr>
        <sz val="11"/>
        <rFont val="Calibri"/>
        <family val="2"/>
      </rPr>
      <t>S6.020.644</t>
    </r>
  </si>
  <si>
    <t>TI-F1-S6-0801B-UAA04</t>
  </si>
  <si>
    <r>
      <rPr>
        <sz val="11"/>
        <rFont val="Calibri"/>
        <family val="2"/>
      </rPr>
      <t>S7.020.744</t>
    </r>
  </si>
  <si>
    <t>TI-F1-S7-0801B-UAA04</t>
  </si>
  <si>
    <r>
      <rPr>
        <sz val="11"/>
        <rFont val="Calibri"/>
        <family val="2"/>
      </rPr>
      <t>S8.020.844</t>
    </r>
  </si>
  <si>
    <t>TI-F1-S8-0801B-UAA04</t>
  </si>
  <si>
    <r>
      <rPr>
        <b/>
        <sz val="11"/>
        <rFont val="Calibri"/>
        <family val="2"/>
      </rPr>
      <t>Zone type 13</t>
    </r>
  </si>
  <si>
    <t>A1.030.011</t>
  </si>
  <si>
    <t>TI-F1-A1-0801B-UAA28</t>
  </si>
  <si>
    <t>13</t>
  </si>
  <si>
    <r>
      <rPr>
        <sz val="11"/>
        <rFont val="Calibri"/>
        <family val="2"/>
      </rPr>
      <t>A1.030.031</t>
    </r>
  </si>
  <si>
    <t>TI-F1-A1-0801B-UAA64</t>
  </si>
  <si>
    <r>
      <rPr>
        <sz val="11"/>
        <rFont val="Calibri"/>
        <family val="2"/>
      </rPr>
      <t>A1.030.032</t>
    </r>
  </si>
  <si>
    <t>TI-F1-A1-0801B-UAA58</t>
  </si>
  <si>
    <r>
      <rPr>
        <sz val="11"/>
        <rFont val="Calibri"/>
        <family val="2"/>
      </rPr>
      <t>A1.030.039</t>
    </r>
  </si>
  <si>
    <t>TI-F1-A1-0801B-UAA44</t>
  </si>
  <si>
    <r>
      <rPr>
        <sz val="11"/>
        <rFont val="Calibri"/>
        <family val="2"/>
      </rPr>
      <t>A1.030.046</t>
    </r>
  </si>
  <si>
    <t>TI-F1-A1-0801B-UAA55</t>
  </si>
  <si>
    <r>
      <rPr>
        <sz val="11"/>
        <rFont val="Calibri"/>
        <family val="2"/>
      </rPr>
      <t>A1.030.047</t>
    </r>
  </si>
  <si>
    <t>TI-F1-A1-0801B-UAA51</t>
  </si>
  <si>
    <r>
      <rPr>
        <sz val="11"/>
        <rFont val="Calibri"/>
        <family val="2"/>
      </rPr>
      <t>A1.030.048</t>
    </r>
  </si>
  <si>
    <t>TI-F1-A1-0801B-UAA48</t>
  </si>
  <si>
    <r>
      <rPr>
        <sz val="11"/>
        <rFont val="Calibri"/>
        <family val="2"/>
      </rPr>
      <t>A1.030.054</t>
    </r>
  </si>
  <si>
    <t>TI-F1-A1-0801B-UAA59</t>
  </si>
  <si>
    <r>
      <rPr>
        <sz val="11"/>
        <rFont val="Calibri"/>
        <family val="2"/>
      </rPr>
      <t>A2.020.024</t>
    </r>
  </si>
  <si>
    <t>TI-F1-A2-0801B-UAA24</t>
  </si>
  <si>
    <r>
      <rPr>
        <sz val="11"/>
        <rFont val="Calibri"/>
        <family val="2"/>
      </rPr>
      <t>A2.030.010</t>
    </r>
  </si>
  <si>
    <t>TI-F1-A2-0801B-UAA28</t>
  </si>
  <si>
    <t>A2.030.009</t>
  </si>
  <si>
    <r>
      <rPr>
        <sz val="11"/>
        <rFont val="Calibri"/>
        <family val="2"/>
      </rPr>
      <t>A2.030.026</t>
    </r>
  </si>
  <si>
    <t>TI-F1-A2-0801B-UAA48</t>
  </si>
  <si>
    <r>
      <rPr>
        <sz val="11"/>
        <rFont val="Calibri"/>
        <family val="2"/>
      </rPr>
      <t>A2.030.036</t>
    </r>
  </si>
  <si>
    <t>TI-F1-A2-0801B-UAA33</t>
  </si>
  <si>
    <r>
      <rPr>
        <sz val="11"/>
        <rFont val="Calibri"/>
        <family val="2"/>
      </rPr>
      <t>A2.030.037</t>
    </r>
  </si>
  <si>
    <t>TI-F1-A2-0801B-UAA40</t>
  </si>
  <si>
    <r>
      <rPr>
        <sz val="11"/>
        <rFont val="Calibri"/>
        <family val="2"/>
      </rPr>
      <t>A2.030.042</t>
    </r>
  </si>
  <si>
    <t>TI-F1-A2-0801B-UAA34</t>
  </si>
  <si>
    <r>
      <rPr>
        <sz val="11"/>
        <rFont val="Calibri"/>
        <family val="2"/>
      </rPr>
      <t>S1.020.102</t>
    </r>
  </si>
  <si>
    <t>TI-F1-S1-0801B-UAA13</t>
  </si>
  <si>
    <r>
      <rPr>
        <sz val="11"/>
        <rFont val="Calibri"/>
        <family val="2"/>
      </rPr>
      <t>S1.020.118</t>
    </r>
  </si>
  <si>
    <t>TI-F1-S1-0801B-UAA16</t>
  </si>
  <si>
    <r>
      <rPr>
        <sz val="11"/>
        <rFont val="Calibri"/>
        <family val="2"/>
      </rPr>
      <t>S1.030.104</t>
    </r>
  </si>
  <si>
    <t>TI-F1-S1-0801B-UAA30</t>
  </si>
  <si>
    <t>S1.030.105</t>
  </si>
  <si>
    <r>
      <rPr>
        <sz val="11"/>
        <rFont val="Calibri"/>
        <family val="2"/>
      </rPr>
      <t>S1.030.108</t>
    </r>
  </si>
  <si>
    <t>TI-F1-S1-0801B-UAA35</t>
  </si>
  <si>
    <r>
      <rPr>
        <sz val="11"/>
        <rFont val="Calibri"/>
        <family val="2"/>
      </rPr>
      <t>S1.030.109</t>
    </r>
  </si>
  <si>
    <t>TI-F1-S1-0801B-UAA34</t>
  </si>
  <si>
    <r>
      <rPr>
        <sz val="11"/>
        <rFont val="Calibri"/>
        <family val="2"/>
      </rPr>
      <t>S2.020.202</t>
    </r>
  </si>
  <si>
    <t>TI-F1-S2-0801B-UAA13</t>
  </si>
  <si>
    <r>
      <rPr>
        <sz val="11"/>
        <rFont val="Calibri"/>
        <family val="2"/>
      </rPr>
      <t>S2.020.218</t>
    </r>
  </si>
  <si>
    <t>TI-F1-S2-0801B-UAA16</t>
  </si>
  <si>
    <r>
      <rPr>
        <sz val="11"/>
        <rFont val="Calibri"/>
        <family val="2"/>
      </rPr>
      <t>S2.030.204</t>
    </r>
  </si>
  <si>
    <t>TI-F1-S2-0801B-UAA30</t>
  </si>
  <si>
    <t>S2.030.205</t>
  </si>
  <si>
    <r>
      <rPr>
        <sz val="11"/>
        <rFont val="Calibri"/>
        <family val="2"/>
      </rPr>
      <t>S2.030.208</t>
    </r>
  </si>
  <si>
    <t>TI-F1-S2-0801B-UAA35</t>
  </si>
  <si>
    <r>
      <rPr>
        <sz val="11"/>
        <rFont val="Calibri"/>
        <family val="2"/>
      </rPr>
      <t>S2.030.209</t>
    </r>
  </si>
  <si>
    <t>TI-F1-S2-0801B-UAA34</t>
  </si>
  <si>
    <r>
      <rPr>
        <sz val="11"/>
        <rFont val="Calibri"/>
        <family val="2"/>
      </rPr>
      <t>S3.020.302</t>
    </r>
  </si>
  <si>
    <t>TI-F1-S3-0801B-UAA13</t>
  </si>
  <si>
    <r>
      <rPr>
        <sz val="11"/>
        <rFont val="Calibri"/>
        <family val="2"/>
      </rPr>
      <t>S3.020.318</t>
    </r>
  </si>
  <si>
    <t>TI-F1-S3-0801B-UAA16</t>
  </si>
  <si>
    <r>
      <rPr>
        <sz val="11"/>
        <rFont val="Calibri"/>
        <family val="2"/>
      </rPr>
      <t>S3.030.304</t>
    </r>
  </si>
  <si>
    <t>TI-F1-S3-0801B-UAA30</t>
  </si>
  <si>
    <t>S3.030.305</t>
  </si>
  <si>
    <r>
      <rPr>
        <sz val="11"/>
        <rFont val="Calibri"/>
        <family val="2"/>
      </rPr>
      <t>S3.030.308</t>
    </r>
  </si>
  <si>
    <t>TI-F1-S3-0801B-UAA35</t>
  </si>
  <si>
    <r>
      <rPr>
        <sz val="11"/>
        <rFont val="Calibri"/>
        <family val="2"/>
      </rPr>
      <t>S3.030.309</t>
    </r>
  </si>
  <si>
    <t>TI-F1-S3-0801B-UAA34</t>
  </si>
  <si>
    <r>
      <rPr>
        <sz val="11"/>
        <rFont val="Calibri"/>
        <family val="2"/>
      </rPr>
      <t>S4.020.402</t>
    </r>
  </si>
  <si>
    <t>TI-F1-S4-0801B-UAA13</t>
  </si>
  <si>
    <r>
      <rPr>
        <sz val="11"/>
        <rFont val="Calibri"/>
        <family val="2"/>
      </rPr>
      <t>S4.020.418</t>
    </r>
  </si>
  <si>
    <t>TI-F1-S4-0801B-UAA16</t>
  </si>
  <si>
    <r>
      <rPr>
        <sz val="11"/>
        <rFont val="Calibri"/>
        <family val="2"/>
      </rPr>
      <t>S4.030.404</t>
    </r>
  </si>
  <si>
    <t>TI-F1-S4-0801B-UAA30</t>
  </si>
  <si>
    <t>S4.030.405</t>
  </si>
  <si>
    <r>
      <rPr>
        <sz val="11"/>
        <rFont val="Calibri"/>
        <family val="2"/>
      </rPr>
      <t>S4.030.408</t>
    </r>
  </si>
  <si>
    <t>TI-F1-S4-0801B-UAA35</t>
  </si>
  <si>
    <r>
      <rPr>
        <sz val="11"/>
        <rFont val="Calibri"/>
        <family val="2"/>
      </rPr>
      <t>S4.030.409</t>
    </r>
  </si>
  <si>
    <t>TI-F1-S4-0801B-UAA34</t>
  </si>
  <si>
    <r>
      <rPr>
        <sz val="11"/>
        <rFont val="Calibri"/>
        <family val="2"/>
      </rPr>
      <t>S5.020.502</t>
    </r>
  </si>
  <si>
    <t>TI-F1-S5-0801B-UAA13</t>
  </si>
  <si>
    <r>
      <rPr>
        <sz val="11"/>
        <rFont val="Calibri"/>
        <family val="2"/>
      </rPr>
      <t>S5.020.518</t>
    </r>
  </si>
  <si>
    <t>TI-F1-S5-0801B-UAA16</t>
  </si>
  <si>
    <r>
      <rPr>
        <sz val="11"/>
        <rFont val="Calibri"/>
        <family val="2"/>
      </rPr>
      <t>S5.030.504</t>
    </r>
  </si>
  <si>
    <t>TI-F1-S5-0801B-UAA30</t>
  </si>
  <si>
    <t>S5.030.505</t>
  </si>
  <si>
    <r>
      <rPr>
        <sz val="11"/>
        <rFont val="Calibri"/>
        <family val="2"/>
      </rPr>
      <t>S5.030.508</t>
    </r>
  </si>
  <si>
    <t>TI-F1-S5-0801B-UAA35</t>
  </si>
  <si>
    <t>S5.030.509</t>
  </si>
  <si>
    <t>TI-F1-S5-0801B-UAA34</t>
  </si>
  <si>
    <r>
      <rPr>
        <sz val="11"/>
        <rFont val="Calibri"/>
        <family val="2"/>
      </rPr>
      <t>S6.020.602</t>
    </r>
  </si>
  <si>
    <t>TI-F1-S6-0801B-UAA13</t>
  </si>
  <si>
    <r>
      <rPr>
        <sz val="11"/>
        <rFont val="Calibri"/>
        <family val="2"/>
      </rPr>
      <t>S6.020.618</t>
    </r>
  </si>
  <si>
    <t>TI-F1-S6-0801B-UAA16</t>
  </si>
  <si>
    <r>
      <rPr>
        <sz val="11"/>
        <rFont val="Calibri"/>
        <family val="2"/>
      </rPr>
      <t>S6.030.604</t>
    </r>
  </si>
  <si>
    <t>TI-F1-S6-0801B-UAA30</t>
  </si>
  <si>
    <t>S6.030.605</t>
  </si>
  <si>
    <r>
      <rPr>
        <sz val="11"/>
        <rFont val="Calibri"/>
        <family val="2"/>
      </rPr>
      <t>S6.030.608</t>
    </r>
  </si>
  <si>
    <t>TI-F1-S6-0801B-UAA35</t>
  </si>
  <si>
    <r>
      <rPr>
        <sz val="11"/>
        <rFont val="Calibri"/>
        <family val="2"/>
      </rPr>
      <t>S6.030.609</t>
    </r>
  </si>
  <si>
    <t>TI-F1-S6-0801B-UAA34</t>
  </si>
  <si>
    <r>
      <rPr>
        <sz val="11"/>
        <rFont val="Calibri"/>
        <family val="2"/>
      </rPr>
      <t>S7.020.702</t>
    </r>
  </si>
  <si>
    <t>TI-F1-S7-0801B-UAA13</t>
  </si>
  <si>
    <r>
      <rPr>
        <sz val="11"/>
        <rFont val="Calibri"/>
        <family val="2"/>
      </rPr>
      <t>S7.020.718</t>
    </r>
  </si>
  <si>
    <t>TI-F1-S7-0801B-UAA16</t>
  </si>
  <si>
    <r>
      <rPr>
        <sz val="11"/>
        <rFont val="Calibri"/>
        <family val="2"/>
      </rPr>
      <t>S7.030.704</t>
    </r>
  </si>
  <si>
    <t>TI-F1-S7-0801B-UAA30</t>
  </si>
  <si>
    <t>S7.030.705</t>
  </si>
  <si>
    <r>
      <rPr>
        <sz val="11"/>
        <rFont val="Calibri"/>
        <family val="2"/>
      </rPr>
      <t>S7.030.708</t>
    </r>
  </si>
  <si>
    <t>TI-F1-S7-0801B-UAA35</t>
  </si>
  <si>
    <r>
      <rPr>
        <sz val="11"/>
        <rFont val="Calibri"/>
        <family val="2"/>
      </rPr>
      <t>S7.030.709</t>
    </r>
  </si>
  <si>
    <t>TI-F1-S7-0801B-UAA34</t>
  </si>
  <si>
    <r>
      <rPr>
        <sz val="11"/>
        <rFont val="Calibri"/>
        <family val="2"/>
      </rPr>
      <t>S8.020.802</t>
    </r>
  </si>
  <si>
    <t>TI-F1-S8-0801B-UAA13</t>
  </si>
  <si>
    <r>
      <rPr>
        <sz val="11"/>
        <rFont val="Calibri"/>
        <family val="2"/>
      </rPr>
      <t>S8.020.818</t>
    </r>
  </si>
  <si>
    <t>TI-F1-S8-0801B-UAA16</t>
  </si>
  <si>
    <r>
      <rPr>
        <sz val="11"/>
        <rFont val="Calibri"/>
        <family val="2"/>
      </rPr>
      <t>S8.030.804</t>
    </r>
  </si>
  <si>
    <t>TI-F1-S8-0801B-UAA30</t>
  </si>
  <si>
    <t>S8.030.805</t>
  </si>
  <si>
    <r>
      <rPr>
        <sz val="11"/>
        <rFont val="Calibri"/>
        <family val="2"/>
      </rPr>
      <t>S8.030.808</t>
    </r>
  </si>
  <si>
    <t>TI-F1-S8-0801B-UAA35</t>
  </si>
  <si>
    <r>
      <rPr>
        <sz val="11"/>
        <rFont val="Calibri"/>
        <family val="2"/>
      </rPr>
      <t>S8.030.809</t>
    </r>
  </si>
  <si>
    <t>TI-F1-S8-0801B-UAA34</t>
  </si>
  <si>
    <r>
      <rPr>
        <b/>
        <sz val="11"/>
        <rFont val="Calibri"/>
        <family val="2"/>
      </rPr>
      <t>Zone type 14</t>
    </r>
  </si>
  <si>
    <r>
      <rPr>
        <sz val="11"/>
        <rFont val="Calibri"/>
        <family val="2"/>
      </rPr>
      <t>A1.030.014</t>
    </r>
  </si>
  <si>
    <t>TI-F1-A1-0801B-UAA31</t>
  </si>
  <si>
    <t>14</t>
  </si>
  <si>
    <r>
      <rPr>
        <sz val="11"/>
        <rFont val="Calibri"/>
        <family val="2"/>
      </rPr>
      <t>A1.030.015</t>
    </r>
  </si>
  <si>
    <t>TI-F1-A1-0801B-UAA32</t>
  </si>
  <si>
    <r>
      <rPr>
        <sz val="11"/>
        <rFont val="Calibri"/>
        <family val="2"/>
      </rPr>
      <t>A1.030.016</t>
    </r>
  </si>
  <si>
    <t>TI-F1-A1-0801B-UAA33</t>
  </si>
  <si>
    <r>
      <rPr>
        <sz val="11"/>
        <rFont val="Calibri"/>
        <family val="2"/>
      </rPr>
      <t>A1.030.017</t>
    </r>
  </si>
  <si>
    <t>TI-F1-A1-0801B-UAA34</t>
  </si>
  <si>
    <r>
      <rPr>
        <b/>
        <sz val="11"/>
        <rFont val="Calibri"/>
        <family val="2"/>
      </rPr>
      <t>Zone type 15</t>
    </r>
  </si>
  <si>
    <r>
      <rPr>
        <sz val="11"/>
        <rFont val="Calibri"/>
        <family val="2"/>
      </rPr>
      <t>A1.020.050</t>
    </r>
  </si>
  <si>
    <t>TI-F1-A1-0801B-UAA05</t>
  </si>
  <si>
    <t>B+</t>
  </si>
  <si>
    <t>15</t>
  </si>
  <si>
    <r>
      <rPr>
        <sz val="11"/>
        <rFont val="Calibri"/>
        <family val="2"/>
      </rPr>
      <t>A1.020.083</t>
    </r>
  </si>
  <si>
    <t>TI-F1-A1-0801B-UAA24</t>
  </si>
  <si>
    <r>
      <rPr>
        <sz val="11"/>
        <rFont val="Calibri"/>
        <family val="2"/>
      </rPr>
      <t>A1.030.027-1</t>
    </r>
  </si>
  <si>
    <t>TI-F1-A1-0801B-UAA65</t>
  </si>
  <si>
    <r>
      <rPr>
        <sz val="11"/>
        <rFont val="Calibri"/>
        <family val="2"/>
      </rPr>
      <t>A1.030.027-2</t>
    </r>
  </si>
  <si>
    <t>TI-F1-A1-0801B-UAA60</t>
  </si>
  <si>
    <r>
      <rPr>
        <sz val="11"/>
        <rFont val="Calibri"/>
        <family val="2"/>
      </rPr>
      <t>A1.030.027-3</t>
    </r>
  </si>
  <si>
    <t>TI-F1-A1-0801B-UAA41</t>
  </si>
  <si>
    <t>A1.030.040</t>
  </si>
  <si>
    <r>
      <rPr>
        <sz val="11"/>
        <rFont val="Calibri"/>
        <family val="2"/>
      </rPr>
      <t>A1.030.050</t>
    </r>
  </si>
  <si>
    <t>TI-F1-A1-0801B-UAA50</t>
  </si>
  <si>
    <r>
      <rPr>
        <sz val="11"/>
        <rFont val="Calibri"/>
        <family val="2"/>
      </rPr>
      <t>A1.030.051</t>
    </r>
  </si>
  <si>
    <t>TI-F1-A1-0801B-UAA56</t>
  </si>
  <si>
    <r>
      <rPr>
        <sz val="11"/>
        <rFont val="Calibri"/>
        <family val="2"/>
      </rPr>
      <t>A2.020.023</t>
    </r>
  </si>
  <si>
    <t>TI-F1-A2-0801B-UAA23</t>
  </si>
  <si>
    <r>
      <rPr>
        <sz val="11"/>
        <rFont val="Calibri"/>
        <family val="2"/>
      </rPr>
      <t>A2.020.028</t>
    </r>
  </si>
  <si>
    <t>TI-F1-A2-0801B-UAA22</t>
  </si>
  <si>
    <r>
      <rPr>
        <sz val="11"/>
        <rFont val="Calibri"/>
        <family val="2"/>
      </rPr>
      <t>A2.020.029</t>
    </r>
  </si>
  <si>
    <t>TI-F1-A2-0801B-UAA20</t>
  </si>
  <si>
    <r>
      <rPr>
        <sz val="11"/>
        <rFont val="Calibri"/>
        <family val="2"/>
      </rPr>
      <t>A2.030.035-1</t>
    </r>
  </si>
  <si>
    <t>TI-F1-A2-0801B-UAA42</t>
  </si>
  <si>
    <t>A2.030.038</t>
  </si>
  <si>
    <t>A2.030.035-2</t>
  </si>
  <si>
    <t>TI-F1-A2-0801B-UAA35</t>
  </si>
  <si>
    <t>A2.030.042</t>
  </si>
  <si>
    <r>
      <rPr>
        <sz val="11"/>
        <rFont val="Calibri"/>
        <family val="2"/>
      </rPr>
      <t>A2.030.035-3</t>
    </r>
  </si>
  <si>
    <t>TI-F1-A2-0801B-UAA52</t>
  </si>
  <si>
    <t>A2.030.043</t>
  </si>
  <si>
    <t>S1.030.101</t>
  </si>
  <si>
    <t>TI-F1-S1-0801B-UAA31</t>
  </si>
  <si>
    <r>
      <rPr>
        <sz val="11"/>
        <rFont val="Calibri"/>
        <family val="2"/>
      </rPr>
      <t>S1.030.103</t>
    </r>
  </si>
  <si>
    <t>TI-F1-S1-0801B-UAA32</t>
  </si>
  <si>
    <t>S2.030.201</t>
  </si>
  <si>
    <t>TI-F1-S2-0801B-UAA31</t>
  </si>
  <si>
    <r>
      <rPr>
        <sz val="11"/>
        <rFont val="Calibri"/>
        <family val="2"/>
      </rPr>
      <t>S2.030.203</t>
    </r>
  </si>
  <si>
    <t>TI-F1-S2-0801B-UAA32</t>
  </si>
  <si>
    <r>
      <rPr>
        <sz val="11"/>
        <rFont val="Calibri"/>
        <family val="2"/>
      </rPr>
      <t>S3.030.301</t>
    </r>
  </si>
  <si>
    <t>TI-F1-S3-0801B-UAA31</t>
  </si>
  <si>
    <r>
      <rPr>
        <sz val="11"/>
        <rFont val="Calibri"/>
        <family val="2"/>
      </rPr>
      <t>S3.030.303</t>
    </r>
  </si>
  <si>
    <t>TI-F1-S3-0801B-UAA32</t>
  </si>
  <si>
    <r>
      <rPr>
        <sz val="11"/>
        <rFont val="Calibri"/>
        <family val="2"/>
      </rPr>
      <t>S4.030.401</t>
    </r>
  </si>
  <si>
    <t>TI-F1-S4-0801B-UAA31</t>
  </si>
  <si>
    <r>
      <rPr>
        <sz val="11"/>
        <rFont val="Calibri"/>
        <family val="2"/>
      </rPr>
      <t>S4.030.403</t>
    </r>
  </si>
  <si>
    <t>TI-F1-S4-0801B-UAA32</t>
  </si>
  <si>
    <t>S5.030.501</t>
  </si>
  <si>
    <t>TI-F1-S5-0801B-UAA31</t>
  </si>
  <si>
    <r>
      <rPr>
        <sz val="11"/>
        <rFont val="Calibri"/>
        <family val="2"/>
      </rPr>
      <t>S5.030.503</t>
    </r>
  </si>
  <si>
    <t>TI-F1-S5-0801B-UAA32</t>
  </si>
  <si>
    <r>
      <rPr>
        <sz val="11"/>
        <rFont val="Calibri"/>
        <family val="2"/>
      </rPr>
      <t>S6.030.601</t>
    </r>
  </si>
  <si>
    <t>TI-F1-S6-0801B-UAA31</t>
  </si>
  <si>
    <r>
      <rPr>
        <sz val="11"/>
        <rFont val="Calibri"/>
        <family val="2"/>
      </rPr>
      <t>S6.030.603</t>
    </r>
  </si>
  <si>
    <t>TI-F1-S6-0801B-UAA32</t>
  </si>
  <si>
    <r>
      <rPr>
        <sz val="11"/>
        <rFont val="Calibri"/>
        <family val="2"/>
      </rPr>
      <t>S7.030.701</t>
    </r>
  </si>
  <si>
    <t>TI-F1-S7-0801B-UAA31</t>
  </si>
  <si>
    <r>
      <rPr>
        <sz val="11"/>
        <rFont val="Calibri"/>
        <family val="2"/>
      </rPr>
      <t>S7.030.703</t>
    </r>
  </si>
  <si>
    <t>TI-F1-S7-0801B-UAA32</t>
  </si>
  <si>
    <r>
      <rPr>
        <sz val="11"/>
        <rFont val="Calibri"/>
        <family val="2"/>
      </rPr>
      <t>S8.030.801</t>
    </r>
  </si>
  <si>
    <t>TI-F1-S8-0801B-UAA31</t>
  </si>
  <si>
    <r>
      <rPr>
        <sz val="11"/>
        <rFont val="Calibri"/>
        <family val="2"/>
      </rPr>
      <t>S8.030.803</t>
    </r>
  </si>
  <si>
    <t>TI-F1-S8-0801B-UAA32</t>
  </si>
  <si>
    <t>Zone type 16</t>
  </si>
  <si>
    <t>A2.020.036</t>
  </si>
  <si>
    <t>TI-F1-A2-0801B-UAA03</t>
  </si>
  <si>
    <t>16</t>
  </si>
  <si>
    <t>0701F</t>
  </si>
  <si>
    <t>A2.020.039-042</t>
  </si>
  <si>
    <t>TI-F1-A2-0801B-UAA06</t>
  </si>
  <si>
    <t>A2.020.039-42</t>
  </si>
  <si>
    <t>A2.020.043</t>
  </si>
  <si>
    <t>TI-F1-A2-0801B-UAA07</t>
  </si>
  <si>
    <t>Zone type 17</t>
  </si>
  <si>
    <t>A1.020.088, 106-109</t>
  </si>
  <si>
    <t>TI-F1-A1-0801B-UAA13</t>
  </si>
  <si>
    <t>17</t>
  </si>
  <si>
    <t>A1.020.088</t>
  </si>
  <si>
    <r>
      <rPr>
        <b/>
        <sz val="11"/>
        <rFont val="Calibri"/>
        <family val="2"/>
      </rPr>
      <t>Hovedtotal</t>
    </r>
  </si>
  <si>
    <t>Mappe fordeling</t>
  </si>
  <si>
    <t>Zone generation</t>
  </si>
  <si>
    <t>Zone typer NEW</t>
  </si>
  <si>
    <r>
      <rPr>
        <b/>
        <sz val="11"/>
        <rFont val="Calibri"/>
        <family val="2"/>
      </rPr>
      <t>Antal af Zone</t>
    </r>
  </si>
  <si>
    <t>IBI-Boks Type</t>
  </si>
  <si>
    <r>
      <rPr>
        <b/>
        <sz val="11"/>
        <rFont val="Calibri"/>
        <family val="2"/>
      </rPr>
      <t>Sum af Rumtemp eratur</t>
    </r>
  </si>
  <si>
    <r>
      <rPr>
        <b/>
        <sz val="11"/>
        <rFont val="Calibri"/>
        <family val="2"/>
      </rPr>
      <t>Sum af Luftkvalit et</t>
    </r>
  </si>
  <si>
    <r>
      <rPr>
        <b/>
        <sz val="11"/>
        <rFont val="Calibri"/>
        <family val="2"/>
      </rPr>
      <t>Sum af Temperatur, i loft</t>
    </r>
  </si>
  <si>
    <r>
      <rPr>
        <b/>
        <sz val="11"/>
        <rFont val="Calibri"/>
        <family val="2"/>
      </rPr>
      <t xml:space="preserve">Sum af Temperatur
</t>
    </r>
    <r>
      <rPr>
        <b/>
        <sz val="11"/>
        <rFont val="Calibri"/>
        <family val="2"/>
      </rPr>
      <t>, infrarød</t>
    </r>
  </si>
  <si>
    <r>
      <rPr>
        <b/>
        <sz val="11"/>
        <rFont val="Calibri"/>
        <family val="2"/>
      </rPr>
      <t>Sum af Rumpanel</t>
    </r>
  </si>
  <si>
    <r>
      <rPr>
        <b/>
        <sz val="11"/>
        <rFont val="Calibri"/>
        <family val="2"/>
      </rPr>
      <t xml:space="preserve">Sum af VAV-
</t>
    </r>
    <r>
      <rPr>
        <b/>
        <sz val="11"/>
        <rFont val="Calibri"/>
        <family val="2"/>
      </rPr>
      <t xml:space="preserve">spjæld,
</t>
    </r>
    <r>
      <rPr>
        <b/>
        <sz val="11"/>
        <rFont val="Calibri"/>
        <family val="2"/>
      </rPr>
      <t>indbl.</t>
    </r>
  </si>
  <si>
    <r>
      <rPr>
        <b/>
        <sz val="11"/>
        <rFont val="Calibri"/>
        <family val="2"/>
      </rPr>
      <t xml:space="preserve">Sum af VAV-
</t>
    </r>
    <r>
      <rPr>
        <b/>
        <sz val="11"/>
        <rFont val="Calibri"/>
        <family val="2"/>
      </rPr>
      <t xml:space="preserve">spjæld,
</t>
    </r>
    <r>
      <rPr>
        <b/>
        <sz val="11"/>
        <rFont val="Calibri"/>
        <family val="2"/>
      </rPr>
      <t>uds.</t>
    </r>
  </si>
  <si>
    <r>
      <rPr>
        <b/>
        <sz val="11"/>
        <rFont val="Calibri"/>
        <family val="2"/>
      </rPr>
      <t>Sum af On/Off spjæld, indbl.</t>
    </r>
  </si>
  <si>
    <r>
      <rPr>
        <b/>
        <sz val="11"/>
        <rFont val="Calibri"/>
        <family val="2"/>
      </rPr>
      <t>Sum af On/Off- spjæld, uds.</t>
    </r>
  </si>
  <si>
    <r>
      <rPr>
        <b/>
        <sz val="11"/>
        <rFont val="Calibri"/>
        <family val="2"/>
      </rPr>
      <t>Sum af Ventil, radiator</t>
    </r>
  </si>
  <si>
    <r>
      <rPr>
        <b/>
        <sz val="11"/>
        <rFont val="Calibri"/>
        <family val="2"/>
      </rPr>
      <t>Sum af Ventil, gulvvarme</t>
    </r>
  </si>
  <si>
    <r>
      <rPr>
        <b/>
        <sz val="11"/>
        <rFont val="Calibri"/>
        <family val="2"/>
      </rPr>
      <t>Sum af Ventil, kølebaffel</t>
    </r>
  </si>
  <si>
    <r>
      <rPr>
        <b/>
        <sz val="11"/>
        <rFont val="Calibri"/>
        <family val="2"/>
      </rPr>
      <t>Sum af Solafskærmni ng motor</t>
    </r>
  </si>
  <si>
    <r>
      <rPr>
        <b/>
        <sz val="11"/>
        <rFont val="Calibri"/>
        <family val="2"/>
      </rPr>
      <t>Sum af Solafskærmning tryk op/ned</t>
    </r>
  </si>
  <si>
    <t xml:space="preserve">Lysstyring </t>
  </si>
  <si>
    <t>Mappe 02</t>
  </si>
  <si>
    <t>NEW</t>
  </si>
  <si>
    <t xml:space="preserve">Gang </t>
  </si>
  <si>
    <t>Mappe 03,04,06</t>
  </si>
  <si>
    <r>
      <rPr>
        <b/>
        <sz val="11"/>
        <rFont val="Calibri"/>
        <family val="2"/>
      </rPr>
      <t>Zone type 03</t>
    </r>
    <r>
      <rPr>
        <sz val="11"/>
        <color theme="1"/>
        <rFont val="Calibri"/>
        <family val="2"/>
        <scheme val="minor"/>
      </rPr>
      <t/>
    </r>
  </si>
  <si>
    <t xml:space="preserve">Teknik </t>
  </si>
  <si>
    <t>PIR &amp; loft temperaturføgler skal ses bort fra på PI-diagram</t>
  </si>
  <si>
    <t>Gang</t>
  </si>
  <si>
    <t>loft temperaturføgler skal ses bort fra på PI-diagram</t>
  </si>
  <si>
    <t>Mappe 05,07</t>
  </si>
  <si>
    <t xml:space="preserve">Omklædning </t>
  </si>
  <si>
    <t>Infrarød temperaturføgler skal ses bort fra på PI-diagram</t>
  </si>
  <si>
    <r>
      <rPr>
        <b/>
        <sz val="11"/>
        <rFont val="Calibri"/>
        <family val="2"/>
      </rPr>
      <t>Zone type 06</t>
    </r>
  </si>
  <si>
    <r>
      <rPr>
        <b/>
        <sz val="11"/>
        <rFont val="Calibri"/>
        <family val="2"/>
      </rPr>
      <t>Zone type 07</t>
    </r>
  </si>
  <si>
    <t xml:space="preserve">Toilet </t>
  </si>
  <si>
    <t>Mappe 08</t>
  </si>
  <si>
    <r>
      <rPr>
        <b/>
        <sz val="11"/>
        <rFont val="Calibri"/>
        <family val="2"/>
      </rPr>
      <t>Zone type 08</t>
    </r>
  </si>
  <si>
    <t>Corridor</t>
  </si>
  <si>
    <t>Mappe 09</t>
  </si>
  <si>
    <t>Te køkken</t>
  </si>
  <si>
    <t>Mappe 10,12</t>
  </si>
  <si>
    <t>Mini rum / møderum</t>
  </si>
  <si>
    <t>Radiator skal ses bort fra på PI-diagram</t>
  </si>
  <si>
    <t>Mappe 11,13</t>
  </si>
  <si>
    <t>Møderum</t>
  </si>
  <si>
    <t>Loft temperaturføgler skal ses bort fra på PI-diagram</t>
  </si>
  <si>
    <t>Affald / Kaffe station</t>
  </si>
  <si>
    <t>Mappe 14</t>
  </si>
  <si>
    <t xml:space="preserve">Møderum </t>
  </si>
  <si>
    <t>Mappe 15</t>
  </si>
  <si>
    <t>Zone type 15</t>
  </si>
  <si>
    <t xml:space="preserve">Kontor </t>
  </si>
  <si>
    <t>B/B+</t>
  </si>
  <si>
    <t xml:space="preserve">Special </t>
  </si>
  <si>
    <t>x</t>
  </si>
  <si>
    <t xml:space="preserve">Rumpanel RJ 45 </t>
  </si>
  <si>
    <t xml:space="preserve">AI 2 leder </t>
  </si>
  <si>
    <t>AI +24V AC</t>
  </si>
  <si>
    <t>MODBUS +24Vac</t>
  </si>
  <si>
    <t xml:space="preserve"> DO +24Vac </t>
  </si>
  <si>
    <t xml:space="preserve">AO +24Vac </t>
  </si>
  <si>
    <t>BACnet /IP</t>
  </si>
  <si>
    <t xml:space="preserve">BACnet/IP </t>
  </si>
  <si>
    <t xml:space="preserve">Fra Rumpanel </t>
  </si>
  <si>
    <t xml:space="preserve">DI </t>
  </si>
  <si>
    <t xml:space="preserve">Schneider </t>
  </si>
  <si>
    <t xml:space="preserve">RDF-18 NTC10k L2000 </t>
  </si>
  <si>
    <t xml:space="preserve">RDF-IR V L3000 </t>
  </si>
  <si>
    <t>Lindab VRU</t>
  </si>
  <si>
    <t>SM24A-S</t>
  </si>
  <si>
    <t>MP125</t>
  </si>
  <si>
    <t>EMO TM</t>
  </si>
  <si>
    <t xml:space="preserve">SoMfy) </t>
  </si>
  <si>
    <t xml:space="preserve">Strøm forbrug </t>
  </si>
  <si>
    <t xml:space="preserve">2 W +30W til RP-C </t>
  </si>
  <si>
    <t>0 W</t>
  </si>
  <si>
    <t xml:space="preserve">0,6W </t>
  </si>
  <si>
    <t xml:space="preserve">3W pr stk </t>
  </si>
  <si>
    <t xml:space="preserve">2W </t>
  </si>
  <si>
    <t>1,2 W</t>
  </si>
  <si>
    <t xml:space="preserve">7W opstart / 3W drift </t>
  </si>
  <si>
    <t>SXWSBTXXXSXX</t>
  </si>
  <si>
    <t>SXWSBTXCXSXX</t>
  </si>
  <si>
    <t>UB1 &amp; UB02 &amp; UB08</t>
  </si>
  <si>
    <t>DO1 &amp; DO2</t>
  </si>
  <si>
    <t>UB3 &amp; 4</t>
  </si>
  <si>
    <t>UB5 - 7</t>
  </si>
  <si>
    <t xml:space="preserve">Zone med størst bestykning </t>
  </si>
  <si>
    <t xml:space="preserve">Zone type 14 </t>
  </si>
  <si>
    <t>cover SXWSCDXSELXX</t>
  </si>
  <si>
    <t>Controller SXWRCF12B10002</t>
  </si>
  <si>
    <t xml:space="preserve">antal </t>
  </si>
  <si>
    <t xml:space="preserve">Zone bokse </t>
  </si>
  <si>
    <t xml:space="preserve">Maks bestykning </t>
  </si>
  <si>
    <t xml:space="preserve">rumpanel 
loft temp 
VAV MODBUS 
Dørkontakt 
Radiator 
Køleventil </t>
  </si>
  <si>
    <t xml:space="preserve">rumpanel </t>
  </si>
  <si>
    <t xml:space="preserve">RJ45 stik </t>
  </si>
  <si>
    <t xml:space="preserve">loft temp </t>
  </si>
  <si>
    <t>VAV</t>
  </si>
  <si>
    <t xml:space="preserve">MODBUS </t>
  </si>
  <si>
    <t xml:space="preserve">24Vac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</si>
</sst>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8"/>
      <name val="Times New Roman"/>
      <family val="1"/>
    </font>
    <font>
      <b/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E6F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43B2E1"/>
      </bottom>
      <diagonal/>
    </border>
    <border>
      <left/>
      <right/>
      <top style="thin">
        <color rgb="FF43B2E1"/>
      </top>
      <bottom style="thin">
        <color rgb="FF43B2E1"/>
      </bottom>
      <diagonal/>
    </border>
    <border>
      <left/>
      <right/>
      <top style="thin">
        <color rgb="FF43B2E1"/>
      </top>
      <bottom/>
      <diagonal/>
    </border>
    <border>
      <left/>
      <right/>
      <top style="thin">
        <color rgb="FF43B2E1"/>
      </top>
      <bottom style="thin">
        <color rgb="FF00B0F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23"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0" fontId="0" fillId="4" borderId="0" xfId="0" applyFill="1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3" fillId="0" borderId="2" xfId="0" applyFont="1" applyBorder="1" applyAlignment="1">
      <alignment horizontal="right" vertical="top" wrapText="1"/>
    </xf>
    <xf numFmtId="1" fontId="6" fillId="0" borderId="2" xfId="0" applyNumberFormat="1" applyFont="1" applyBorder="1" applyAlignment="1">
      <alignment horizontal="right" vertical="top" shrinkToFit="1"/>
    </xf>
    <xf numFmtId="1" fontId="5" fillId="0" borderId="2" xfId="0" applyNumberFormat="1" applyFont="1" applyBorder="1" applyAlignment="1">
      <alignment horizontal="right" vertical="top" shrinkToFit="1"/>
    </xf>
    <xf numFmtId="0" fontId="3" fillId="4" borderId="2" xfId="0" applyFont="1" applyFill="1" applyBorder="1" applyAlignment="1">
      <alignment horizontal="right" vertical="top" wrapText="1"/>
    </xf>
    <xf numFmtId="1" fontId="6" fillId="4" borderId="2" xfId="0" applyNumberFormat="1" applyFont="1" applyFill="1" applyBorder="1" applyAlignment="1">
      <alignment horizontal="right" vertical="top" shrinkToFit="1"/>
    </xf>
    <xf numFmtId="0" fontId="0" fillId="0" borderId="3" xfId="0" applyBorder="1" applyAlignment="1">
      <alignment horizontal="right" vertical="top" wrapText="1"/>
    </xf>
    <xf numFmtId="0" fontId="3" fillId="0" borderId="6" xfId="0" applyFont="1" applyBorder="1" applyAlignment="1">
      <alignment horizontal="right" vertical="top" wrapText="1"/>
    </xf>
    <xf numFmtId="1" fontId="6" fillId="0" borderId="6" xfId="0" applyNumberFormat="1" applyFont="1" applyBorder="1" applyAlignment="1">
      <alignment horizontal="right" vertical="top" shrinkToFit="1"/>
    </xf>
    <xf numFmtId="0" fontId="4" fillId="3" borderId="4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left" vertical="top" wrapText="1"/>
    </xf>
    <xf numFmtId="0" fontId="4" fillId="3" borderId="7" xfId="0" applyFont="1" applyFill="1" applyBorder="1" applyAlignment="1">
      <alignment horizontal="left" vertical="top" wrapText="1"/>
    </xf>
    <xf numFmtId="1" fontId="6" fillId="0" borderId="8" xfId="0" applyNumberFormat="1" applyFont="1" applyBorder="1" applyAlignment="1">
      <alignment horizontal="right" vertical="top" shrinkToFit="1"/>
    </xf>
    <xf numFmtId="1" fontId="6" fillId="0" borderId="10" xfId="0" applyNumberFormat="1" applyFont="1" applyBorder="1" applyAlignment="1">
      <alignment horizontal="right" vertical="top" shrinkToFit="1"/>
    </xf>
    <xf numFmtId="0" fontId="0" fillId="0" borderId="11" xfId="0" applyBorder="1" applyAlignment="1">
      <alignment horizontal="right" vertical="top" wrapText="1"/>
    </xf>
    <xf numFmtId="0" fontId="0" fillId="0" borderId="15" xfId="0" applyBorder="1" applyAlignment="1">
      <alignment horizontal="right" vertical="top" wrapText="1"/>
    </xf>
    <xf numFmtId="0" fontId="4" fillId="5" borderId="2" xfId="0" applyFont="1" applyFill="1" applyBorder="1" applyAlignment="1">
      <alignment horizontal="right" vertical="top" wrapText="1"/>
    </xf>
    <xf numFmtId="0" fontId="3" fillId="6" borderId="2" xfId="0" applyFont="1" applyFill="1" applyBorder="1" applyAlignment="1">
      <alignment horizontal="right" vertical="top" wrapText="1"/>
    </xf>
    <xf numFmtId="0" fontId="0" fillId="0" borderId="2" xfId="0" applyBorder="1" applyAlignment="1">
      <alignment horizontal="right" vertical="top"/>
    </xf>
    <xf numFmtId="0" fontId="7" fillId="0" borderId="16" xfId="0" applyFont="1" applyBorder="1" applyAlignment="1">
      <alignment horizontal="right" vertical="top"/>
    </xf>
    <xf numFmtId="0" fontId="3" fillId="0" borderId="6" xfId="0" applyFont="1" applyBorder="1" applyAlignment="1">
      <alignment horizontal="right" vertical="top"/>
    </xf>
    <xf numFmtId="0" fontId="3" fillId="0" borderId="2" xfId="0" applyFont="1" applyBorder="1" applyAlignment="1">
      <alignment horizontal="right" vertical="top"/>
    </xf>
    <xf numFmtId="0" fontId="4" fillId="3" borderId="17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17" xfId="0" applyBorder="1" applyAlignment="1">
      <alignment horizontal="right" vertical="top" wrapText="1"/>
    </xf>
    <xf numFmtId="0" fontId="0" fillId="0" borderId="6" xfId="0" applyBorder="1" applyAlignment="1">
      <alignment horizontal="right" vertical="top"/>
    </xf>
    <xf numFmtId="0" fontId="3" fillId="7" borderId="2" xfId="0" applyFont="1" applyFill="1" applyBorder="1" applyAlignment="1">
      <alignment horizontal="right" vertical="top"/>
    </xf>
    <xf numFmtId="0" fontId="3" fillId="4" borderId="2" xfId="0" applyFont="1" applyFill="1" applyBorder="1" applyAlignment="1">
      <alignment horizontal="right" vertical="top"/>
    </xf>
    <xf numFmtId="49" fontId="3" fillId="0" borderId="8" xfId="0" applyNumberFormat="1" applyFont="1" applyBorder="1" applyAlignment="1">
      <alignment horizontal="center" vertical="top" wrapText="1"/>
    </xf>
    <xf numFmtId="49" fontId="4" fillId="3" borderId="7" xfId="0" applyNumberFormat="1" applyFont="1" applyFill="1" applyBorder="1" applyAlignment="1">
      <alignment horizontal="left" vertical="top" wrapText="1"/>
    </xf>
    <xf numFmtId="49" fontId="3" fillId="0" borderId="8" xfId="0" applyNumberFormat="1" applyFont="1" applyBorder="1" applyAlignment="1">
      <alignment horizontal="center" vertical="top"/>
    </xf>
    <xf numFmtId="49" fontId="3" fillId="0" borderId="10" xfId="0" applyNumberFormat="1" applyFont="1" applyBorder="1" applyAlignment="1">
      <alignment horizontal="center" vertical="top" wrapText="1"/>
    </xf>
    <xf numFmtId="49" fontId="3" fillId="6" borderId="8" xfId="0" applyNumberFormat="1" applyFont="1" applyFill="1" applyBorder="1" applyAlignment="1">
      <alignment horizontal="center" vertical="top" wrapText="1"/>
    </xf>
    <xf numFmtId="49" fontId="0" fillId="0" borderId="11" xfId="0" applyNumberFormat="1" applyBorder="1" applyAlignment="1">
      <alignment horizontal="center" vertical="top" wrapText="1"/>
    </xf>
    <xf numFmtId="49" fontId="0" fillId="0" borderId="0" xfId="0" applyNumberFormat="1" applyAlignment="1">
      <alignment horizontal="center" vertical="top"/>
    </xf>
    <xf numFmtId="0" fontId="3" fillId="0" borderId="8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top" wrapText="1"/>
    </xf>
    <xf numFmtId="0" fontId="3" fillId="6" borderId="8" xfId="0" applyFont="1" applyFill="1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4" fillId="3" borderId="21" xfId="0" applyFont="1" applyFill="1" applyBorder="1" applyAlignment="1">
      <alignment horizontal="left" vertical="top" wrapText="1"/>
    </xf>
    <xf numFmtId="0" fontId="3" fillId="0" borderId="22" xfId="0" applyFont="1" applyBorder="1" applyAlignment="1">
      <alignment horizontal="right" vertical="top" wrapText="1"/>
    </xf>
    <xf numFmtId="0" fontId="3" fillId="0" borderId="24" xfId="0" applyFont="1" applyBorder="1" applyAlignment="1">
      <alignment horizontal="right" vertical="top" wrapText="1"/>
    </xf>
    <xf numFmtId="0" fontId="0" fillId="0" borderId="25" xfId="0" applyBorder="1" applyAlignment="1">
      <alignment horizontal="right" vertical="top" wrapText="1"/>
    </xf>
    <xf numFmtId="0" fontId="0" fillId="0" borderId="26" xfId="0" applyBorder="1" applyAlignment="1">
      <alignment horizontal="right" vertical="top"/>
    </xf>
    <xf numFmtId="0" fontId="8" fillId="5" borderId="16" xfId="0" applyFont="1" applyFill="1" applyBorder="1" applyAlignment="1">
      <alignment horizontal="right" vertical="top"/>
    </xf>
    <xf numFmtId="0" fontId="8" fillId="5" borderId="28" xfId="0" applyFont="1" applyFill="1" applyBorder="1" applyAlignment="1">
      <alignment horizontal="right" vertical="top"/>
    </xf>
    <xf numFmtId="0" fontId="0" fillId="6" borderId="2" xfId="0" applyFill="1" applyBorder="1" applyAlignment="1">
      <alignment horizontal="right" vertical="top"/>
    </xf>
    <xf numFmtId="1" fontId="6" fillId="6" borderId="2" xfId="0" applyNumberFormat="1" applyFont="1" applyFill="1" applyBorder="1" applyAlignment="1">
      <alignment horizontal="right" vertical="top" shrinkToFit="1"/>
    </xf>
    <xf numFmtId="0" fontId="4" fillId="3" borderId="32" xfId="0" applyFont="1" applyFill="1" applyBorder="1" applyAlignment="1">
      <alignment horizontal="left" vertical="top" wrapText="1"/>
    </xf>
    <xf numFmtId="1" fontId="6" fillId="0" borderId="12" xfId="0" applyNumberFormat="1" applyFont="1" applyBorder="1" applyAlignment="1">
      <alignment horizontal="right" vertical="top" shrinkToFit="1"/>
    </xf>
    <xf numFmtId="1" fontId="6" fillId="0" borderId="14" xfId="0" applyNumberFormat="1" applyFont="1" applyBorder="1" applyAlignment="1">
      <alignment horizontal="right" vertical="top" shrinkToFit="1"/>
    </xf>
    <xf numFmtId="0" fontId="4" fillId="6" borderId="2" xfId="0" applyFont="1" applyFill="1" applyBorder="1" applyAlignment="1">
      <alignment horizontal="left" vertical="top" wrapText="1"/>
    </xf>
    <xf numFmtId="0" fontId="7" fillId="6" borderId="2" xfId="0" applyFont="1" applyFill="1" applyBorder="1" applyAlignment="1">
      <alignment horizontal="right" vertical="top"/>
    </xf>
    <xf numFmtId="0" fontId="10" fillId="3" borderId="33" xfId="0" applyFont="1" applyFill="1" applyBorder="1" applyAlignment="1">
      <alignment horizontal="center" vertical="top" wrapText="1"/>
    </xf>
    <xf numFmtId="0" fontId="4" fillId="3" borderId="33" xfId="0" applyFont="1" applyFill="1" applyBorder="1" applyAlignment="1">
      <alignment horizontal="center" vertical="top" wrapText="1"/>
    </xf>
    <xf numFmtId="0" fontId="0" fillId="3" borderId="33" xfId="0" applyFill="1" applyBorder="1" applyAlignment="1">
      <alignment horizontal="center" vertical="top" wrapText="1"/>
    </xf>
    <xf numFmtId="0" fontId="4" fillId="2" borderId="33" xfId="0" applyFont="1" applyFill="1" applyBorder="1" applyAlignment="1">
      <alignment horizontal="center" vertical="top" wrapText="1"/>
    </xf>
    <xf numFmtId="0" fontId="4" fillId="3" borderId="0" xfId="0" applyFont="1" applyFill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center" vertical="top"/>
    </xf>
    <xf numFmtId="0" fontId="4" fillId="0" borderId="34" xfId="0" applyFont="1" applyBorder="1" applyAlignment="1">
      <alignment horizontal="center" vertical="top" wrapText="1"/>
    </xf>
    <xf numFmtId="0" fontId="0" fillId="0" borderId="33" xfId="0" applyBorder="1" applyAlignment="1">
      <alignment horizontal="center" vertical="top" wrapText="1"/>
    </xf>
    <xf numFmtId="0" fontId="4" fillId="0" borderId="33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10" fillId="0" borderId="0" xfId="0" applyFont="1" applyAlignment="1">
      <alignment horizontal="left"/>
    </xf>
    <xf numFmtId="0" fontId="12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center" vertical="top"/>
    </xf>
    <xf numFmtId="1" fontId="5" fillId="8" borderId="34" xfId="0" applyNumberFormat="1" applyFont="1" applyFill="1" applyBorder="1" applyAlignment="1">
      <alignment horizontal="center" vertical="top" shrinkToFit="1"/>
    </xf>
    <xf numFmtId="1" fontId="5" fillId="0" borderId="34" xfId="0" applyNumberFormat="1" applyFont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0" fontId="11" fillId="0" borderId="0" xfId="0" applyFont="1" applyAlignment="1">
      <alignment horizontal="left"/>
    </xf>
    <xf numFmtId="1" fontId="5" fillId="8" borderId="33" xfId="0" applyNumberFormat="1" applyFont="1" applyFill="1" applyBorder="1" applyAlignment="1">
      <alignment horizontal="center" vertical="top" shrinkToFit="1"/>
    </xf>
    <xf numFmtId="1" fontId="5" fillId="0" borderId="33" xfId="0" applyNumberFormat="1" applyFont="1" applyBorder="1" applyAlignment="1">
      <alignment horizontal="center" vertical="top" shrinkToFit="1"/>
    </xf>
    <xf numFmtId="1" fontId="5" fillId="7" borderId="33" xfId="0" applyNumberFormat="1" applyFont="1" applyFill="1" applyBorder="1" applyAlignment="1">
      <alignment horizontal="center" vertical="top" shrinkToFit="1"/>
    </xf>
    <xf numFmtId="0" fontId="12" fillId="0" borderId="0" xfId="0" applyFont="1" applyAlignment="1">
      <alignment horizontal="left" vertical="top"/>
    </xf>
    <xf numFmtId="1" fontId="5" fillId="8" borderId="35" xfId="0" applyNumberFormat="1" applyFont="1" applyFill="1" applyBorder="1" applyAlignment="1">
      <alignment horizontal="center" vertical="top" shrinkToFit="1"/>
    </xf>
    <xf numFmtId="1" fontId="5" fillId="8" borderId="0" xfId="0" applyNumberFormat="1" applyFont="1" applyFill="1" applyAlignment="1">
      <alignment horizontal="center" vertical="top" shrinkToFit="1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8" xfId="0" applyBorder="1" applyAlignment="1">
      <alignment vertical="top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18" xfId="0" applyBorder="1" applyAlignment="1">
      <alignment horizontal="right" vertical="top"/>
    </xf>
    <xf numFmtId="0" fontId="15" fillId="0" borderId="2" xfId="1" applyFont="1" applyBorder="1" applyAlignment="1">
      <alignment horizontal="right"/>
    </xf>
    <xf numFmtId="1" fontId="5" fillId="5" borderId="2" xfId="0" applyNumberFormat="1" applyFont="1" applyFill="1" applyBorder="1" applyAlignment="1">
      <alignment horizontal="right" vertical="top" shrinkToFit="1"/>
    </xf>
    <xf numFmtId="0" fontId="4" fillId="5" borderId="29" xfId="0" applyFont="1" applyFill="1" applyBorder="1" applyAlignment="1">
      <alignment horizontal="right" vertical="top" wrapText="1"/>
    </xf>
    <xf numFmtId="0" fontId="4" fillId="5" borderId="25" xfId="0" applyFont="1" applyFill="1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4" fillId="5" borderId="31" xfId="0" applyFont="1" applyFill="1" applyBorder="1" applyAlignment="1">
      <alignment horizontal="right" vertical="top" wrapText="1"/>
    </xf>
    <xf numFmtId="0" fontId="4" fillId="5" borderId="3" xfId="0" applyFont="1" applyFill="1" applyBorder="1" applyAlignment="1">
      <alignment horizontal="right" vertical="top" wrapText="1"/>
    </xf>
    <xf numFmtId="0" fontId="4" fillId="5" borderId="30" xfId="0" applyFont="1" applyFill="1" applyBorder="1" applyAlignment="1">
      <alignment horizontal="center" vertical="top" wrapText="1"/>
    </xf>
    <xf numFmtId="49" fontId="4" fillId="5" borderId="31" xfId="0" applyNumberFormat="1" applyFont="1" applyFill="1" applyBorder="1" applyAlignment="1">
      <alignment horizontal="center" vertical="top" wrapText="1"/>
    </xf>
    <xf numFmtId="0" fontId="4" fillId="5" borderId="31" xfId="0" applyFont="1" applyFill="1" applyBorder="1" applyAlignment="1">
      <alignment horizontal="right" vertical="top"/>
    </xf>
    <xf numFmtId="1" fontId="5" fillId="5" borderId="30" xfId="0" applyNumberFormat="1" applyFont="1" applyFill="1" applyBorder="1" applyAlignment="1">
      <alignment horizontal="right" vertical="top" shrinkToFit="1"/>
    </xf>
    <xf numFmtId="1" fontId="5" fillId="5" borderId="11" xfId="0" applyNumberFormat="1" applyFont="1" applyFill="1" applyBorder="1" applyAlignment="1">
      <alignment horizontal="right" vertical="top" shrinkToFit="1"/>
    </xf>
    <xf numFmtId="1" fontId="5" fillId="5" borderId="16" xfId="0" applyNumberFormat="1" applyFont="1" applyFill="1" applyBorder="1" applyAlignment="1">
      <alignment horizontal="right" vertical="top" shrinkToFit="1"/>
    </xf>
    <xf numFmtId="1" fontId="6" fillId="5" borderId="2" xfId="0" applyNumberFormat="1" applyFont="1" applyFill="1" applyBorder="1" applyAlignment="1">
      <alignment horizontal="right" vertical="top" shrinkToFit="1"/>
    </xf>
    <xf numFmtId="1" fontId="6" fillId="6" borderId="6" xfId="0" applyNumberFormat="1" applyFont="1" applyFill="1" applyBorder="1" applyAlignment="1">
      <alignment horizontal="right" vertical="top" shrinkToFit="1"/>
    </xf>
    <xf numFmtId="1" fontId="6" fillId="4" borderId="14" xfId="0" applyNumberFormat="1" applyFont="1" applyFill="1" applyBorder="1" applyAlignment="1">
      <alignment horizontal="right" vertical="top" shrinkToFit="1"/>
    </xf>
    <xf numFmtId="0" fontId="0" fillId="0" borderId="24" xfId="0" applyBorder="1" applyAlignment="1">
      <alignment horizontal="right" vertical="top" wrapText="1"/>
    </xf>
    <xf numFmtId="0" fontId="4" fillId="5" borderId="21" xfId="0" applyFont="1" applyFill="1" applyBorder="1" applyAlignment="1">
      <alignment horizontal="right" vertical="top" wrapText="1"/>
    </xf>
    <xf numFmtId="0" fontId="4" fillId="0" borderId="27" xfId="0" applyFont="1" applyBorder="1" applyAlignment="1">
      <alignment horizontal="right" vertical="top" wrapText="1"/>
    </xf>
    <xf numFmtId="0" fontId="4" fillId="5" borderId="7" xfId="0" applyFont="1" applyFill="1" applyBorder="1" applyAlignment="1">
      <alignment horizontal="right" vertical="top" wrapText="1"/>
    </xf>
    <xf numFmtId="0" fontId="3" fillId="6" borderId="6" xfId="0" applyFont="1" applyFill="1" applyBorder="1" applyAlignment="1">
      <alignment horizontal="right" vertical="top" wrapText="1"/>
    </xf>
    <xf numFmtId="0" fontId="4" fillId="0" borderId="38" xfId="0" applyFont="1" applyBorder="1" applyAlignment="1">
      <alignment horizontal="right" vertical="top" wrapText="1"/>
    </xf>
    <xf numFmtId="0" fontId="0" fillId="0" borderId="10" xfId="0" applyBorder="1" applyAlignment="1">
      <alignment horizontal="center" vertical="top" wrapText="1"/>
    </xf>
    <xf numFmtId="0" fontId="4" fillId="5" borderId="7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49" fontId="4" fillId="5" borderId="7" xfId="0" applyNumberFormat="1" applyFont="1" applyFill="1" applyBorder="1" applyAlignment="1">
      <alignment horizontal="center" vertical="top" wrapText="1"/>
    </xf>
    <xf numFmtId="49" fontId="0" fillId="0" borderId="8" xfId="0" applyNumberFormat="1" applyBorder="1" applyAlignment="1">
      <alignment horizontal="center" vertical="top" wrapText="1"/>
    </xf>
    <xf numFmtId="49" fontId="4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right" vertical="top" wrapText="1"/>
    </xf>
    <xf numFmtId="0" fontId="4" fillId="5" borderId="4" xfId="0" applyFont="1" applyFill="1" applyBorder="1" applyAlignment="1">
      <alignment horizontal="right" vertical="top" wrapText="1"/>
    </xf>
    <xf numFmtId="0" fontId="4" fillId="0" borderId="4" xfId="0" applyFont="1" applyBorder="1" applyAlignment="1">
      <alignment horizontal="right" vertical="top" wrapText="1"/>
    </xf>
    <xf numFmtId="0" fontId="0" fillId="0" borderId="10" xfId="0" applyBorder="1" applyAlignment="1">
      <alignment horizontal="right" vertical="top" wrapText="1"/>
    </xf>
    <xf numFmtId="1" fontId="5" fillId="2" borderId="7" xfId="0" applyNumberFormat="1" applyFont="1" applyFill="1" applyBorder="1" applyAlignment="1">
      <alignment horizontal="right" vertical="top" shrinkToFit="1"/>
    </xf>
    <xf numFmtId="0" fontId="8" fillId="0" borderId="1" xfId="0" applyFont="1" applyBorder="1" applyAlignment="1">
      <alignment horizontal="right" vertical="top" wrapText="1"/>
    </xf>
    <xf numFmtId="0" fontId="0" fillId="0" borderId="14" xfId="0" applyBorder="1" applyAlignment="1">
      <alignment horizontal="right" vertical="top" wrapText="1"/>
    </xf>
    <xf numFmtId="0" fontId="3" fillId="5" borderId="2" xfId="0" applyFont="1" applyFill="1" applyBorder="1" applyAlignment="1">
      <alignment horizontal="right" vertical="top" wrapText="1"/>
    </xf>
    <xf numFmtId="0" fontId="3" fillId="4" borderId="24" xfId="0" applyFont="1" applyFill="1" applyBorder="1" applyAlignment="1">
      <alignment horizontal="right" vertical="top" wrapText="1"/>
    </xf>
    <xf numFmtId="49" fontId="3" fillId="4" borderId="8" xfId="0" applyNumberFormat="1" applyFont="1" applyFill="1" applyBorder="1" applyAlignment="1">
      <alignment horizontal="center" vertical="top" wrapText="1"/>
    </xf>
    <xf numFmtId="1" fontId="6" fillId="4" borderId="10" xfId="0" applyNumberFormat="1" applyFont="1" applyFill="1" applyBorder="1" applyAlignment="1">
      <alignment horizontal="right" vertical="top" shrinkToFit="1"/>
    </xf>
    <xf numFmtId="0" fontId="0" fillId="0" borderId="3" xfId="0" applyBorder="1" applyAlignment="1">
      <alignment horizontal="right" vertical="top"/>
    </xf>
    <xf numFmtId="0" fontId="3" fillId="4" borderId="8" xfId="0" applyFont="1" applyFill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49" fontId="4" fillId="0" borderId="8" xfId="0" applyNumberFormat="1" applyFont="1" applyBorder="1" applyAlignment="1">
      <alignment horizontal="center" vertical="top" wrapText="1"/>
    </xf>
    <xf numFmtId="0" fontId="3" fillId="5" borderId="24" xfId="0" applyFont="1" applyFill="1" applyBorder="1" applyAlignment="1">
      <alignment horizontal="right" vertical="top" wrapText="1"/>
    </xf>
    <xf numFmtId="0" fontId="3" fillId="5" borderId="6" xfId="0" applyFont="1" applyFill="1" applyBorder="1" applyAlignment="1">
      <alignment horizontal="right" vertical="top" wrapText="1"/>
    </xf>
    <xf numFmtId="0" fontId="3" fillId="5" borderId="2" xfId="0" applyFont="1" applyFill="1" applyBorder="1" applyAlignment="1">
      <alignment horizontal="right" vertical="top"/>
    </xf>
    <xf numFmtId="1" fontId="6" fillId="5" borderId="10" xfId="0" applyNumberFormat="1" applyFont="1" applyFill="1" applyBorder="1" applyAlignment="1">
      <alignment horizontal="right" vertical="top" shrinkToFit="1"/>
    </xf>
    <xf numFmtId="1" fontId="6" fillId="5" borderId="14" xfId="0" applyNumberFormat="1" applyFont="1" applyFill="1" applyBorder="1" applyAlignment="1">
      <alignment horizontal="right" vertical="top" shrinkToFit="1"/>
    </xf>
    <xf numFmtId="0" fontId="0" fillId="5" borderId="0" xfId="0" applyFill="1" applyAlignment="1">
      <alignment horizontal="right" vertical="top"/>
    </xf>
    <xf numFmtId="0" fontId="11" fillId="0" borderId="0" xfId="0" applyFont="1" applyAlignment="1">
      <alignment horizontal="right" vertical="top"/>
    </xf>
    <xf numFmtId="0" fontId="10" fillId="0" borderId="1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right" wrapText="1"/>
    </xf>
    <xf numFmtId="0" fontId="11" fillId="0" borderId="0" xfId="0" applyFont="1" applyAlignment="1">
      <alignment horizontal="right" wrapText="1"/>
    </xf>
    <xf numFmtId="0" fontId="11" fillId="6" borderId="0" xfId="0" applyFont="1" applyFill="1" applyAlignment="1">
      <alignment horizontal="right" wrapText="1"/>
    </xf>
    <xf numFmtId="0" fontId="16" fillId="0" borderId="0" xfId="0" applyFont="1" applyAlignment="1">
      <alignment horizontal="right" vertical="top" wrapText="1"/>
    </xf>
    <xf numFmtId="0" fontId="11" fillId="4" borderId="0" xfId="0" applyFont="1" applyFill="1" applyAlignment="1">
      <alignment horizontal="right" wrapText="1"/>
    </xf>
    <xf numFmtId="0" fontId="11" fillId="0" borderId="10" xfId="0" applyFont="1" applyBorder="1" applyAlignment="1">
      <alignment horizontal="right" wrapText="1"/>
    </xf>
    <xf numFmtId="0" fontId="17" fillId="5" borderId="16" xfId="0" applyFont="1" applyFill="1" applyBorder="1" applyAlignment="1">
      <alignment horizontal="right" wrapText="1"/>
    </xf>
    <xf numFmtId="0" fontId="14" fillId="5" borderId="0" xfId="0" applyFont="1" applyFill="1" applyAlignment="1">
      <alignment horizontal="right" wrapText="1"/>
    </xf>
    <xf numFmtId="0" fontId="10" fillId="0" borderId="0" xfId="0" applyFont="1" applyAlignment="1">
      <alignment horizontal="right" wrapText="1" indent="1"/>
    </xf>
    <xf numFmtId="0" fontId="4" fillId="0" borderId="22" xfId="0" applyFont="1" applyBorder="1" applyAlignment="1">
      <alignment horizontal="right" vertical="top" wrapText="1"/>
    </xf>
    <xf numFmtId="0" fontId="0" fillId="0" borderId="22" xfId="0" applyBorder="1" applyAlignment="1">
      <alignment horizontal="right" vertical="top" wrapText="1"/>
    </xf>
    <xf numFmtId="0" fontId="3" fillId="0" borderId="26" xfId="0" applyFont="1" applyBorder="1" applyAlignment="1">
      <alignment horizontal="right" vertical="top" wrapText="1"/>
    </xf>
    <xf numFmtId="0" fontId="4" fillId="5" borderId="23" xfId="0" applyFont="1" applyFill="1" applyBorder="1" applyAlignment="1">
      <alignment horizontal="right" vertical="top" wrapText="1"/>
    </xf>
    <xf numFmtId="0" fontId="3" fillId="6" borderId="22" xfId="0" applyFont="1" applyFill="1" applyBorder="1" applyAlignment="1">
      <alignment horizontal="right" vertical="top" wrapText="1"/>
    </xf>
    <xf numFmtId="0" fontId="3" fillId="0" borderId="25" xfId="0" applyFont="1" applyBorder="1" applyAlignment="1">
      <alignment horizontal="right" vertical="top" wrapText="1"/>
    </xf>
    <xf numFmtId="0" fontId="3" fillId="0" borderId="22" xfId="0" applyFont="1" applyBorder="1" applyAlignment="1">
      <alignment horizontal="right" vertical="top"/>
    </xf>
    <xf numFmtId="0" fontId="4" fillId="0" borderId="6" xfId="0" applyFont="1" applyBorder="1" applyAlignment="1">
      <alignment horizontal="right" vertical="top" wrapText="1"/>
    </xf>
    <xf numFmtId="0" fontId="14" fillId="0" borderId="18" xfId="0" applyFont="1" applyBorder="1" applyAlignment="1">
      <alignment horizontal="right" vertical="top"/>
    </xf>
    <xf numFmtId="0" fontId="14" fillId="0" borderId="18" xfId="0" applyFont="1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3" fillId="0" borderId="20" xfId="0" applyFont="1" applyBorder="1" applyAlignment="1">
      <alignment horizontal="right" vertical="top" wrapText="1"/>
    </xf>
    <xf numFmtId="0" fontId="4" fillId="5" borderId="5" xfId="0" applyFont="1" applyFill="1" applyBorder="1" applyAlignment="1">
      <alignment horizontal="right" vertical="top" wrapText="1"/>
    </xf>
    <xf numFmtId="0" fontId="3" fillId="0" borderId="3" xfId="0" applyFont="1" applyBorder="1" applyAlignment="1">
      <alignment horizontal="right" vertical="top" wrapText="1"/>
    </xf>
    <xf numFmtId="0" fontId="3" fillId="5" borderId="8" xfId="0" applyFont="1" applyFill="1" applyBorder="1" applyAlignment="1">
      <alignment horizontal="center" vertical="top" wrapText="1"/>
    </xf>
    <xf numFmtId="0" fontId="4" fillId="5" borderId="11" xfId="0" applyFont="1" applyFill="1" applyBorder="1" applyAlignment="1">
      <alignment horizontal="center" vertical="top" wrapText="1"/>
    </xf>
    <xf numFmtId="0" fontId="4" fillId="5" borderId="9" xfId="0" applyFont="1" applyFill="1" applyBorder="1" applyAlignment="1">
      <alignment horizontal="center" vertical="top" wrapText="1"/>
    </xf>
    <xf numFmtId="0" fontId="3" fillId="0" borderId="18" xfId="0" applyFont="1" applyBorder="1" applyAlignment="1">
      <alignment horizontal="center" vertical="top" wrapText="1"/>
    </xf>
    <xf numFmtId="49" fontId="3" fillId="5" borderId="8" xfId="0" applyNumberFormat="1" applyFont="1" applyFill="1" applyBorder="1" applyAlignment="1">
      <alignment horizontal="center" vertical="top" wrapText="1"/>
    </xf>
    <xf numFmtId="49" fontId="4" fillId="5" borderId="3" xfId="0" applyNumberFormat="1" applyFont="1" applyFill="1" applyBorder="1" applyAlignment="1">
      <alignment horizontal="center" vertical="top" wrapText="1"/>
    </xf>
    <xf numFmtId="49" fontId="3" fillId="0" borderId="6" xfId="0" applyNumberFormat="1" applyFont="1" applyBorder="1" applyAlignment="1">
      <alignment horizontal="center" vertical="top" wrapText="1"/>
    </xf>
    <xf numFmtId="49" fontId="4" fillId="5" borderId="9" xfId="0" applyNumberFormat="1" applyFont="1" applyFill="1" applyBorder="1" applyAlignment="1">
      <alignment horizontal="center" vertical="top" wrapText="1"/>
    </xf>
    <xf numFmtId="49" fontId="3" fillId="0" borderId="2" xfId="0" applyNumberFormat="1" applyFont="1" applyBorder="1" applyAlignment="1">
      <alignment horizontal="center" vertical="top" wrapText="1"/>
    </xf>
    <xf numFmtId="49" fontId="0" fillId="0" borderId="10" xfId="0" applyNumberFormat="1" applyBorder="1" applyAlignment="1">
      <alignment horizontal="center" vertical="top" wrapText="1"/>
    </xf>
    <xf numFmtId="49" fontId="3" fillId="0" borderId="18" xfId="0" applyNumberFormat="1" applyFont="1" applyBorder="1" applyAlignment="1">
      <alignment horizontal="center" vertical="top" wrapText="1"/>
    </xf>
    <xf numFmtId="0" fontId="4" fillId="5" borderId="3" xfId="0" applyFont="1" applyFill="1" applyBorder="1" applyAlignment="1">
      <alignment horizontal="right" vertical="top"/>
    </xf>
    <xf numFmtId="0" fontId="3" fillId="0" borderId="20" xfId="0" applyFont="1" applyBorder="1" applyAlignment="1">
      <alignment horizontal="right" vertical="top"/>
    </xf>
    <xf numFmtId="0" fontId="3" fillId="0" borderId="3" xfId="0" applyFont="1" applyBorder="1" applyAlignment="1">
      <alignment horizontal="right" vertical="top"/>
    </xf>
    <xf numFmtId="49" fontId="3" fillId="0" borderId="20" xfId="0" applyNumberFormat="1" applyFont="1" applyBorder="1" applyAlignment="1">
      <alignment horizontal="center" vertical="top" wrapText="1"/>
    </xf>
    <xf numFmtId="0" fontId="4" fillId="0" borderId="8" xfId="0" applyFont="1" applyBorder="1" applyAlignment="1">
      <alignment horizontal="right" vertical="top" wrapText="1"/>
    </xf>
    <xf numFmtId="0" fontId="0" fillId="0" borderId="8" xfId="0" applyBorder="1" applyAlignment="1">
      <alignment horizontal="right" vertical="top" wrapText="1"/>
    </xf>
    <xf numFmtId="1" fontId="6" fillId="0" borderId="18" xfId="0" applyNumberFormat="1" applyFont="1" applyBorder="1" applyAlignment="1">
      <alignment horizontal="right" vertical="top" shrinkToFit="1"/>
    </xf>
    <xf numFmtId="1" fontId="5" fillId="5" borderId="9" xfId="0" applyNumberFormat="1" applyFont="1" applyFill="1" applyBorder="1" applyAlignment="1">
      <alignment horizontal="right" vertical="top" shrinkToFit="1"/>
    </xf>
    <xf numFmtId="1" fontId="6" fillId="6" borderId="8" xfId="0" applyNumberFormat="1" applyFont="1" applyFill="1" applyBorder="1" applyAlignment="1">
      <alignment horizontal="right" vertical="top" shrinkToFit="1"/>
    </xf>
    <xf numFmtId="1" fontId="6" fillId="0" borderId="11" xfId="0" applyNumberFormat="1" applyFont="1" applyBorder="1" applyAlignment="1">
      <alignment horizontal="right" vertical="top" shrinkToFit="1"/>
    </xf>
    <xf numFmtId="1" fontId="6" fillId="0" borderId="20" xfId="0" applyNumberFormat="1" applyFont="1" applyBorder="1" applyAlignment="1">
      <alignment horizontal="right" vertical="top" shrinkToFit="1"/>
    </xf>
    <xf numFmtId="1" fontId="5" fillId="5" borderId="5" xfId="0" applyNumberFormat="1" applyFont="1" applyFill="1" applyBorder="1" applyAlignment="1">
      <alignment horizontal="right" vertical="top" shrinkToFit="1"/>
    </xf>
    <xf numFmtId="1" fontId="6" fillId="0" borderId="3" xfId="0" applyNumberFormat="1" applyFont="1" applyBorder="1" applyAlignment="1">
      <alignment horizontal="right" vertical="top" shrinkToFit="1"/>
    </xf>
    <xf numFmtId="1" fontId="5" fillId="5" borderId="6" xfId="0" applyNumberFormat="1" applyFont="1" applyFill="1" applyBorder="1" applyAlignment="1">
      <alignment horizontal="right" vertical="top" shrinkToFit="1"/>
    </xf>
    <xf numFmtId="0" fontId="7" fillId="0" borderId="6" xfId="0" applyFont="1" applyBorder="1" applyAlignment="1">
      <alignment horizontal="right" vertical="top" wrapText="1"/>
    </xf>
    <xf numFmtId="1" fontId="5" fillId="0" borderId="6" xfId="0" applyNumberFormat="1" applyFont="1" applyBorder="1" applyAlignment="1">
      <alignment horizontal="right" vertical="top" shrinkToFit="1"/>
    </xf>
    <xf numFmtId="0" fontId="4" fillId="0" borderId="12" xfId="0" applyFont="1" applyBorder="1" applyAlignment="1">
      <alignment horizontal="right" vertical="top" wrapText="1"/>
    </xf>
    <xf numFmtId="0" fontId="0" fillId="0" borderId="12" xfId="0" applyBorder="1" applyAlignment="1">
      <alignment horizontal="right" vertical="top" wrapText="1"/>
    </xf>
    <xf numFmtId="1" fontId="5" fillId="5" borderId="28" xfId="0" applyNumberFormat="1" applyFont="1" applyFill="1" applyBorder="1" applyAlignment="1">
      <alignment horizontal="right" vertical="top" shrinkToFit="1"/>
    </xf>
    <xf numFmtId="1" fontId="6" fillId="0" borderId="19" xfId="0" applyNumberFormat="1" applyFont="1" applyBorder="1" applyAlignment="1">
      <alignment horizontal="right" vertical="top" shrinkToFit="1"/>
    </xf>
    <xf numFmtId="1" fontId="5" fillId="5" borderId="13" xfId="0" applyNumberFormat="1" applyFont="1" applyFill="1" applyBorder="1" applyAlignment="1">
      <alignment horizontal="right" vertical="top" shrinkToFit="1"/>
    </xf>
    <xf numFmtId="1" fontId="6" fillId="6" borderId="12" xfId="0" applyNumberFormat="1" applyFont="1" applyFill="1" applyBorder="1" applyAlignment="1">
      <alignment horizontal="right" vertical="top" shrinkToFit="1"/>
    </xf>
    <xf numFmtId="1" fontId="6" fillId="0" borderId="15" xfId="0" applyNumberFormat="1" applyFont="1" applyBorder="1" applyAlignment="1">
      <alignment horizontal="right" vertical="top" shrinkToFit="1"/>
    </xf>
    <xf numFmtId="0" fontId="17" fillId="5" borderId="28" xfId="0" applyFont="1" applyFill="1" applyBorder="1" applyAlignment="1">
      <alignment horizontal="right" wrapText="1"/>
    </xf>
    <xf numFmtId="0" fontId="4" fillId="5" borderId="6" xfId="0" applyFont="1" applyFill="1" applyBorder="1" applyAlignment="1">
      <alignment horizontal="right" vertical="top" wrapText="1"/>
    </xf>
    <xf numFmtId="0" fontId="11" fillId="0" borderId="0" xfId="0" applyFont="1" applyAlignment="1">
      <alignment horizontal="right"/>
    </xf>
    <xf numFmtId="49" fontId="0" fillId="0" borderId="0" xfId="0" applyNumberFormat="1" applyAlignment="1">
      <alignment horizontal="right" vertical="top"/>
    </xf>
    <xf numFmtId="0" fontId="13" fillId="0" borderId="14" xfId="0" applyFont="1" applyBorder="1" applyAlignment="1">
      <alignment horizontal="center" vertical="top"/>
    </xf>
    <xf numFmtId="0" fontId="13" fillId="0" borderId="37" xfId="0" applyFont="1" applyBorder="1" applyAlignment="1">
      <alignment horizontal="center" vertical="top"/>
    </xf>
    <xf numFmtId="0" fontId="13" fillId="0" borderId="10" xfId="0" applyFont="1" applyBorder="1" applyAlignment="1">
      <alignment horizontal="center" vertical="top"/>
    </xf>
    <xf numFmtId="0" fontId="0" fillId="0" borderId="28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0" borderId="37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5" fillId="0" borderId="0" xfId="0" applyNumberFormat="1" applyFont="1" applyAlignment="1">
      <alignment horizontal="center" vertical="top" shrinkToFit="1"/>
    </xf>
    <xf numFmtId="1" fontId="5" fillId="0" borderId="33" xfId="0" applyNumberFormat="1" applyFont="1" applyBorder="1" applyAlignment="1">
      <alignment horizontal="center" vertical="top" shrinkToFit="1"/>
    </xf>
    <xf numFmtId="1" fontId="5" fillId="0" borderId="35" xfId="0" applyNumberFormat="1" applyFont="1" applyBorder="1" applyAlignment="1">
      <alignment horizontal="center" vertical="top" shrinkToFit="1"/>
    </xf>
    <xf numFmtId="1" fontId="5" fillId="0" borderId="34" xfId="0" applyNumberFormat="1" applyFont="1" applyBorder="1" applyAlignment="1">
      <alignment horizontal="center" vertical="top" shrinkToFit="1"/>
    </xf>
    <xf numFmtId="0" fontId="4" fillId="8" borderId="34" xfId="0" applyFont="1" applyFill="1" applyBorder="1" applyAlignment="1">
      <alignment horizontal="center" vertical="top" wrapText="1"/>
    </xf>
    <xf numFmtId="1" fontId="5" fillId="8" borderId="34" xfId="0" applyNumberFormat="1" applyFont="1" applyFill="1" applyBorder="1" applyAlignment="1">
      <alignment horizontal="center" vertical="top" shrinkToFit="1"/>
    </xf>
    <xf numFmtId="1" fontId="5" fillId="0" borderId="36" xfId="0" applyNumberFormat="1" applyFont="1" applyBorder="1" applyAlignment="1">
      <alignment horizontal="center" vertical="top" shrinkToFit="1"/>
    </xf>
    <xf numFmtId="0" fontId="4" fillId="0" borderId="34" xfId="0" applyFont="1" applyBorder="1" applyAlignment="1">
      <alignment horizontal="center" vertical="top" wrapText="1"/>
    </xf>
    <xf numFmtId="1" fontId="5" fillId="7" borderId="33" xfId="0" applyNumberFormat="1" applyFont="1" applyFill="1" applyBorder="1" applyAlignment="1">
      <alignment horizontal="center" vertical="top" shrinkToFit="1"/>
    </xf>
    <xf numFmtId="1" fontId="5" fillId="7" borderId="34" xfId="0" applyNumberFormat="1" applyFont="1" applyFill="1" applyBorder="1" applyAlignment="1">
      <alignment horizontal="center" vertical="top" shrinkToFit="1"/>
    </xf>
    <xf numFmtId="0" fontId="0" fillId="0" borderId="34" xfId="0" applyBorder="1" applyAlignment="1">
      <alignment horizontal="center" vertical="top" wrapText="1"/>
    </xf>
    <xf numFmtId="0" fontId="0" fillId="3" borderId="33" xfId="0" applyFill="1" applyBorder="1" applyAlignment="1">
      <alignment horizontal="center" vertical="top" wrapText="1"/>
    </xf>
    <xf numFmtId="0" fontId="4" fillId="3" borderId="33" xfId="0" applyFont="1" applyFill="1" applyBorder="1" applyAlignment="1">
      <alignment horizontal="center" vertical="top" wrapText="1"/>
    </xf>
  </cellXfs>
  <cellStyles count="2">
    <cellStyle name="Normal" xfId="0" builtinId="0"/>
    <cellStyle name="Normal 2" xfId="1" xr:uid="{B011B114-8A68-4BA8-85CD-3EAB57C2FE5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411480" cy="40894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0"/>
          <a:ext cx="411480" cy="408940"/>
        </a:xfrm>
        <a:custGeom>
          <a:avLst/>
          <a:gdLst/>
          <a:ahLst/>
          <a:cxnLst/>
          <a:rect l="0" t="0" r="0" b="0"/>
          <a:pathLst>
            <a:path w="411480" h="408940">
              <a:moveTo>
                <a:pt x="74136" y="322093"/>
              </a:moveTo>
              <a:lnTo>
                <a:pt x="38344" y="345365"/>
              </a:lnTo>
              <a:lnTo>
                <a:pt x="15549" y="367852"/>
              </a:lnTo>
              <a:lnTo>
                <a:pt x="3514" y="387354"/>
              </a:lnTo>
              <a:lnTo>
                <a:pt x="0" y="401674"/>
              </a:lnTo>
              <a:lnTo>
                <a:pt x="0" y="408377"/>
              </a:lnTo>
              <a:lnTo>
                <a:pt x="31410" y="408377"/>
              </a:lnTo>
              <a:lnTo>
                <a:pt x="33852" y="407537"/>
              </a:lnTo>
              <a:lnTo>
                <a:pt x="7958" y="407537"/>
              </a:lnTo>
              <a:lnTo>
                <a:pt x="11583" y="392302"/>
              </a:lnTo>
              <a:lnTo>
                <a:pt x="25026" y="370784"/>
              </a:lnTo>
              <a:lnTo>
                <a:pt x="46479" y="346281"/>
              </a:lnTo>
              <a:lnTo>
                <a:pt x="74136" y="322093"/>
              </a:lnTo>
              <a:close/>
            </a:path>
            <a:path w="411480" h="408940">
              <a:moveTo>
                <a:pt x="175917" y="0"/>
              </a:moveTo>
              <a:lnTo>
                <a:pt x="167684" y="5497"/>
              </a:lnTo>
              <a:lnTo>
                <a:pt x="163456" y="18219"/>
              </a:lnTo>
              <a:lnTo>
                <a:pt x="161977" y="31786"/>
              </a:lnTo>
              <a:lnTo>
                <a:pt x="161898" y="32512"/>
              </a:lnTo>
              <a:lnTo>
                <a:pt x="161776" y="38115"/>
              </a:lnTo>
              <a:lnTo>
                <a:pt x="161676" y="42722"/>
              </a:lnTo>
              <a:lnTo>
                <a:pt x="161977" y="51956"/>
              </a:lnTo>
              <a:lnTo>
                <a:pt x="167906" y="94305"/>
              </a:lnTo>
              <a:lnTo>
                <a:pt x="175917" y="128585"/>
              </a:lnTo>
              <a:lnTo>
                <a:pt x="169712" y="151291"/>
              </a:lnTo>
              <a:lnTo>
                <a:pt x="152949" y="193962"/>
              </a:lnTo>
              <a:lnTo>
                <a:pt x="128406" y="248048"/>
              </a:lnTo>
              <a:lnTo>
                <a:pt x="98858" y="304999"/>
              </a:lnTo>
              <a:lnTo>
                <a:pt x="67083" y="356265"/>
              </a:lnTo>
              <a:lnTo>
                <a:pt x="35857" y="393294"/>
              </a:lnTo>
              <a:lnTo>
                <a:pt x="7958" y="407537"/>
              </a:lnTo>
              <a:lnTo>
                <a:pt x="33852" y="407537"/>
              </a:lnTo>
              <a:lnTo>
                <a:pt x="35242" y="407060"/>
              </a:lnTo>
              <a:lnTo>
                <a:pt x="56911" y="388218"/>
              </a:lnTo>
              <a:lnTo>
                <a:pt x="83213" y="354848"/>
              </a:lnTo>
              <a:lnTo>
                <a:pt x="114346" y="305339"/>
              </a:lnTo>
              <a:lnTo>
                <a:pt x="118460" y="304082"/>
              </a:lnTo>
              <a:lnTo>
                <a:pt x="114346" y="304082"/>
              </a:lnTo>
              <a:lnTo>
                <a:pt x="144051" y="249691"/>
              </a:lnTo>
              <a:lnTo>
                <a:pt x="163822" y="207905"/>
              </a:lnTo>
              <a:lnTo>
                <a:pt x="176133" y="176092"/>
              </a:lnTo>
              <a:lnTo>
                <a:pt x="183456" y="151622"/>
              </a:lnTo>
              <a:lnTo>
                <a:pt x="198158" y="151622"/>
              </a:lnTo>
              <a:lnTo>
                <a:pt x="188901" y="127329"/>
              </a:lnTo>
              <a:lnTo>
                <a:pt x="191927" y="105968"/>
              </a:lnTo>
              <a:lnTo>
                <a:pt x="183456" y="105968"/>
              </a:lnTo>
              <a:lnTo>
                <a:pt x="178639" y="87591"/>
              </a:lnTo>
              <a:lnTo>
                <a:pt x="175393" y="69842"/>
              </a:lnTo>
              <a:lnTo>
                <a:pt x="173561" y="53193"/>
              </a:lnTo>
              <a:lnTo>
                <a:pt x="172985" y="38115"/>
              </a:lnTo>
              <a:lnTo>
                <a:pt x="173106" y="32512"/>
              </a:lnTo>
              <a:lnTo>
                <a:pt x="173122" y="31786"/>
              </a:lnTo>
              <a:lnTo>
                <a:pt x="174084" y="21099"/>
              </a:lnTo>
              <a:lnTo>
                <a:pt x="176695" y="10019"/>
              </a:lnTo>
              <a:lnTo>
                <a:pt x="181781" y="2513"/>
              </a:lnTo>
              <a:lnTo>
                <a:pt x="191983" y="2513"/>
              </a:lnTo>
              <a:lnTo>
                <a:pt x="186597" y="418"/>
              </a:lnTo>
              <a:lnTo>
                <a:pt x="175917" y="0"/>
              </a:lnTo>
              <a:close/>
            </a:path>
            <a:path w="411480" h="408940">
              <a:moveTo>
                <a:pt x="407122" y="303245"/>
              </a:moveTo>
              <a:lnTo>
                <a:pt x="395394" y="303245"/>
              </a:lnTo>
              <a:lnTo>
                <a:pt x="390787" y="307433"/>
              </a:lnTo>
              <a:lnTo>
                <a:pt x="390787" y="318742"/>
              </a:lnTo>
              <a:lnTo>
                <a:pt x="395394" y="322930"/>
              </a:lnTo>
              <a:lnTo>
                <a:pt x="407122" y="322930"/>
              </a:lnTo>
              <a:lnTo>
                <a:pt x="409216" y="320836"/>
              </a:lnTo>
              <a:lnTo>
                <a:pt x="396651" y="320836"/>
              </a:lnTo>
              <a:lnTo>
                <a:pt x="392881" y="317485"/>
              </a:lnTo>
              <a:lnTo>
                <a:pt x="392881" y="308690"/>
              </a:lnTo>
              <a:lnTo>
                <a:pt x="396651" y="305339"/>
              </a:lnTo>
              <a:lnTo>
                <a:pt x="409216" y="305339"/>
              </a:lnTo>
              <a:lnTo>
                <a:pt x="407122" y="303245"/>
              </a:lnTo>
              <a:close/>
            </a:path>
            <a:path w="411480" h="408940">
              <a:moveTo>
                <a:pt x="409216" y="305339"/>
              </a:moveTo>
              <a:lnTo>
                <a:pt x="405865" y="305339"/>
              </a:lnTo>
              <a:lnTo>
                <a:pt x="408797" y="308690"/>
              </a:lnTo>
              <a:lnTo>
                <a:pt x="408797" y="317485"/>
              </a:lnTo>
              <a:lnTo>
                <a:pt x="405865" y="320836"/>
              </a:lnTo>
              <a:lnTo>
                <a:pt x="409216" y="320836"/>
              </a:lnTo>
              <a:lnTo>
                <a:pt x="411311" y="318742"/>
              </a:lnTo>
              <a:lnTo>
                <a:pt x="411311" y="307433"/>
              </a:lnTo>
              <a:lnTo>
                <a:pt x="409216" y="305339"/>
              </a:lnTo>
              <a:close/>
            </a:path>
            <a:path w="411480" h="408940">
              <a:moveTo>
                <a:pt x="403771" y="306595"/>
              </a:moveTo>
              <a:lnTo>
                <a:pt x="397070" y="306595"/>
              </a:lnTo>
              <a:lnTo>
                <a:pt x="397070" y="318742"/>
              </a:lnTo>
              <a:lnTo>
                <a:pt x="399164" y="318742"/>
              </a:lnTo>
              <a:lnTo>
                <a:pt x="399164" y="314135"/>
              </a:lnTo>
              <a:lnTo>
                <a:pt x="404469" y="314135"/>
              </a:lnTo>
              <a:lnTo>
                <a:pt x="404190" y="313716"/>
              </a:lnTo>
              <a:lnTo>
                <a:pt x="402934" y="313297"/>
              </a:lnTo>
              <a:lnTo>
                <a:pt x="405447" y="312459"/>
              </a:lnTo>
              <a:lnTo>
                <a:pt x="399164" y="312459"/>
              </a:lnTo>
              <a:lnTo>
                <a:pt x="399164" y="309108"/>
              </a:lnTo>
              <a:lnTo>
                <a:pt x="405167" y="309108"/>
              </a:lnTo>
              <a:lnTo>
                <a:pt x="405098" y="308690"/>
              </a:lnTo>
              <a:lnTo>
                <a:pt x="405028" y="308271"/>
              </a:lnTo>
              <a:lnTo>
                <a:pt x="403771" y="306595"/>
              </a:lnTo>
              <a:close/>
            </a:path>
            <a:path w="411480" h="408940">
              <a:moveTo>
                <a:pt x="404469" y="314135"/>
              </a:moveTo>
              <a:lnTo>
                <a:pt x="401677" y="314135"/>
              </a:lnTo>
              <a:lnTo>
                <a:pt x="402515" y="315391"/>
              </a:lnTo>
              <a:lnTo>
                <a:pt x="402934" y="316648"/>
              </a:lnTo>
              <a:lnTo>
                <a:pt x="403352" y="318742"/>
              </a:lnTo>
              <a:lnTo>
                <a:pt x="405447" y="318742"/>
              </a:lnTo>
              <a:lnTo>
                <a:pt x="405028" y="316648"/>
              </a:lnTo>
              <a:lnTo>
                <a:pt x="405028" y="314972"/>
              </a:lnTo>
              <a:lnTo>
                <a:pt x="404469" y="314135"/>
              </a:lnTo>
              <a:close/>
            </a:path>
            <a:path w="411480" h="408940">
              <a:moveTo>
                <a:pt x="405167" y="309108"/>
              </a:moveTo>
              <a:lnTo>
                <a:pt x="402096" y="309108"/>
              </a:lnTo>
              <a:lnTo>
                <a:pt x="402934" y="309527"/>
              </a:lnTo>
              <a:lnTo>
                <a:pt x="402934" y="312040"/>
              </a:lnTo>
              <a:lnTo>
                <a:pt x="401677" y="312459"/>
              </a:lnTo>
              <a:lnTo>
                <a:pt x="405447" y="312459"/>
              </a:lnTo>
              <a:lnTo>
                <a:pt x="405447" y="310784"/>
              </a:lnTo>
              <a:lnTo>
                <a:pt x="405237" y="309527"/>
              </a:lnTo>
              <a:lnTo>
                <a:pt x="405167" y="309108"/>
              </a:lnTo>
              <a:close/>
            </a:path>
            <a:path w="411480" h="408940">
              <a:moveTo>
                <a:pt x="198158" y="151622"/>
              </a:moveTo>
              <a:lnTo>
                <a:pt x="183456" y="151622"/>
              </a:lnTo>
              <a:lnTo>
                <a:pt x="206061" y="197008"/>
              </a:lnTo>
              <a:lnTo>
                <a:pt x="229529" y="227905"/>
              </a:lnTo>
              <a:lnTo>
                <a:pt x="251428" y="247571"/>
              </a:lnTo>
              <a:lnTo>
                <a:pt x="269320" y="259266"/>
              </a:lnTo>
              <a:lnTo>
                <a:pt x="231417" y="266805"/>
              </a:lnTo>
              <a:lnTo>
                <a:pt x="192461" y="276648"/>
              </a:lnTo>
              <a:lnTo>
                <a:pt x="152932" y="289069"/>
              </a:lnTo>
              <a:lnTo>
                <a:pt x="114346" y="304082"/>
              </a:lnTo>
              <a:lnTo>
                <a:pt x="118460" y="304082"/>
              </a:lnTo>
              <a:lnTo>
                <a:pt x="153587" y="293356"/>
              </a:lnTo>
              <a:lnTo>
                <a:pt x="196440" y="283297"/>
              </a:lnTo>
              <a:lnTo>
                <a:pt x="240865" y="275359"/>
              </a:lnTo>
              <a:lnTo>
                <a:pt x="284818" y="269737"/>
              </a:lnTo>
              <a:lnTo>
                <a:pt x="316269" y="269737"/>
              </a:lnTo>
              <a:lnTo>
                <a:pt x="309530" y="266805"/>
              </a:lnTo>
              <a:lnTo>
                <a:pt x="337940" y="265503"/>
              </a:lnTo>
              <a:lnTo>
                <a:pt x="402767" y="265503"/>
              </a:lnTo>
              <a:lnTo>
                <a:pt x="391886" y="259632"/>
              </a:lnTo>
              <a:lnTo>
                <a:pt x="376264" y="256334"/>
              </a:lnTo>
              <a:lnTo>
                <a:pt x="291100" y="256334"/>
              </a:lnTo>
              <a:lnTo>
                <a:pt x="281382" y="250771"/>
              </a:lnTo>
              <a:lnTo>
                <a:pt x="232605" y="210909"/>
              </a:lnTo>
              <a:lnTo>
                <a:pt x="200275" y="157178"/>
              </a:lnTo>
              <a:lnTo>
                <a:pt x="198158" y="151622"/>
              </a:lnTo>
              <a:close/>
            </a:path>
            <a:path w="411480" h="408940">
              <a:moveTo>
                <a:pt x="316269" y="269737"/>
              </a:moveTo>
              <a:lnTo>
                <a:pt x="284818" y="269737"/>
              </a:lnTo>
              <a:lnTo>
                <a:pt x="312305" y="282158"/>
              </a:lnTo>
              <a:lnTo>
                <a:pt x="339478" y="291517"/>
              </a:lnTo>
              <a:lnTo>
                <a:pt x="364452" y="297420"/>
              </a:lnTo>
              <a:lnTo>
                <a:pt x="385342" y="299475"/>
              </a:lnTo>
              <a:lnTo>
                <a:pt x="398326" y="299475"/>
              </a:lnTo>
              <a:lnTo>
                <a:pt x="405447" y="296543"/>
              </a:lnTo>
              <a:lnTo>
                <a:pt x="406389" y="292773"/>
              </a:lnTo>
              <a:lnTo>
                <a:pt x="394138" y="292773"/>
              </a:lnTo>
              <a:lnTo>
                <a:pt x="377560" y="290895"/>
              </a:lnTo>
              <a:lnTo>
                <a:pt x="357017" y="285601"/>
              </a:lnTo>
              <a:lnTo>
                <a:pt x="333882" y="277400"/>
              </a:lnTo>
              <a:lnTo>
                <a:pt x="316269" y="269737"/>
              </a:lnTo>
              <a:close/>
            </a:path>
            <a:path w="411480" h="408940">
              <a:moveTo>
                <a:pt x="407122" y="289842"/>
              </a:moveTo>
              <a:lnTo>
                <a:pt x="404190" y="291098"/>
              </a:lnTo>
              <a:lnTo>
                <a:pt x="399583" y="292773"/>
              </a:lnTo>
              <a:lnTo>
                <a:pt x="406389" y="292773"/>
              </a:lnTo>
              <a:lnTo>
                <a:pt x="407122" y="289842"/>
              </a:lnTo>
              <a:close/>
            </a:path>
            <a:path w="411480" h="408940">
              <a:moveTo>
                <a:pt x="402767" y="265503"/>
              </a:moveTo>
              <a:lnTo>
                <a:pt x="337940" y="265503"/>
              </a:lnTo>
              <a:lnTo>
                <a:pt x="370944" y="266438"/>
              </a:lnTo>
              <a:lnTo>
                <a:pt x="398058" y="272165"/>
              </a:lnTo>
              <a:lnTo>
                <a:pt x="408797" y="285234"/>
              </a:lnTo>
              <a:lnTo>
                <a:pt x="410054" y="282302"/>
              </a:lnTo>
              <a:lnTo>
                <a:pt x="411322" y="281046"/>
              </a:lnTo>
              <a:lnTo>
                <a:pt x="411322" y="278114"/>
              </a:lnTo>
              <a:lnTo>
                <a:pt x="406212" y="267361"/>
              </a:lnTo>
              <a:lnTo>
                <a:pt x="402767" y="265503"/>
              </a:lnTo>
              <a:close/>
            </a:path>
            <a:path w="411480" h="408940">
              <a:moveTo>
                <a:pt x="341363" y="253402"/>
              </a:moveTo>
              <a:lnTo>
                <a:pt x="330152" y="253683"/>
              </a:lnTo>
              <a:lnTo>
                <a:pt x="317959" y="254397"/>
              </a:lnTo>
              <a:lnTo>
                <a:pt x="291100" y="256334"/>
              </a:lnTo>
              <a:lnTo>
                <a:pt x="376264" y="256334"/>
              </a:lnTo>
              <a:lnTo>
                <a:pt x="369785" y="254966"/>
              </a:lnTo>
              <a:lnTo>
                <a:pt x="341363" y="253402"/>
              </a:lnTo>
              <a:close/>
            </a:path>
            <a:path w="411480" h="408940">
              <a:moveTo>
                <a:pt x="196021" y="34345"/>
              </a:moveTo>
              <a:lnTo>
                <a:pt x="193764" y="46714"/>
              </a:lnTo>
              <a:lnTo>
                <a:pt x="191264" y="61936"/>
              </a:lnTo>
              <a:lnTo>
                <a:pt x="187834" y="82290"/>
              </a:lnTo>
              <a:lnTo>
                <a:pt x="183514" y="105654"/>
              </a:lnTo>
              <a:lnTo>
                <a:pt x="183456" y="105968"/>
              </a:lnTo>
              <a:lnTo>
                <a:pt x="191927" y="105968"/>
              </a:lnTo>
              <a:lnTo>
                <a:pt x="192311" y="103258"/>
              </a:lnTo>
              <a:lnTo>
                <a:pt x="194189" y="80209"/>
              </a:lnTo>
              <a:lnTo>
                <a:pt x="195203" y="57473"/>
              </a:lnTo>
              <a:lnTo>
                <a:pt x="196021" y="34345"/>
              </a:lnTo>
              <a:close/>
            </a:path>
            <a:path w="411480" h="408940">
              <a:moveTo>
                <a:pt x="191983" y="2513"/>
              </a:moveTo>
              <a:lnTo>
                <a:pt x="181781" y="2513"/>
              </a:lnTo>
              <a:lnTo>
                <a:pt x="186303" y="5366"/>
              </a:lnTo>
              <a:lnTo>
                <a:pt x="190665" y="10019"/>
              </a:lnTo>
              <a:lnTo>
                <a:pt x="194091" y="16884"/>
              </a:lnTo>
              <a:lnTo>
                <a:pt x="196021" y="26806"/>
              </a:lnTo>
              <a:lnTo>
                <a:pt x="197592" y="11308"/>
              </a:lnTo>
              <a:lnTo>
                <a:pt x="194137" y="3350"/>
              </a:lnTo>
              <a:lnTo>
                <a:pt x="191983" y="2513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  <xdr:oneCellAnchor>
    <xdr:from>
      <xdr:col>19</xdr:col>
      <xdr:colOff>0</xdr:colOff>
      <xdr:row>1</xdr:row>
      <xdr:rowOff>0</xdr:rowOff>
    </xdr:from>
    <xdr:ext cx="420370" cy="41719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0"/>
          <a:ext cx="420370" cy="417195"/>
        </a:xfrm>
        <a:custGeom>
          <a:avLst/>
          <a:gdLst/>
          <a:ahLst/>
          <a:cxnLst/>
          <a:rect l="0" t="0" r="0" b="0"/>
          <a:pathLst>
            <a:path w="420370" h="417195">
              <a:moveTo>
                <a:pt x="75714" y="328945"/>
              </a:moveTo>
              <a:lnTo>
                <a:pt x="39160" y="352712"/>
              </a:lnTo>
              <a:lnTo>
                <a:pt x="15880" y="375677"/>
              </a:lnTo>
              <a:lnTo>
                <a:pt x="3589" y="395595"/>
              </a:lnTo>
              <a:lnTo>
                <a:pt x="0" y="410219"/>
              </a:lnTo>
              <a:lnTo>
                <a:pt x="0" y="417064"/>
              </a:lnTo>
              <a:lnTo>
                <a:pt x="32080" y="417064"/>
              </a:lnTo>
              <a:lnTo>
                <a:pt x="34572" y="416207"/>
              </a:lnTo>
              <a:lnTo>
                <a:pt x="8127" y="416207"/>
              </a:lnTo>
              <a:lnTo>
                <a:pt x="11830" y="400648"/>
              </a:lnTo>
              <a:lnTo>
                <a:pt x="25558" y="378672"/>
              </a:lnTo>
              <a:lnTo>
                <a:pt x="47468" y="353648"/>
              </a:lnTo>
              <a:lnTo>
                <a:pt x="75714" y="328945"/>
              </a:lnTo>
              <a:close/>
            </a:path>
            <a:path w="420370" h="417195">
              <a:moveTo>
                <a:pt x="179661" y="0"/>
              </a:moveTo>
              <a:lnTo>
                <a:pt x="165219" y="38925"/>
              </a:lnTo>
              <a:lnTo>
                <a:pt x="165117" y="43631"/>
              </a:lnTo>
              <a:lnTo>
                <a:pt x="165424" y="53061"/>
              </a:lnTo>
              <a:lnTo>
                <a:pt x="171480" y="96312"/>
              </a:lnTo>
              <a:lnTo>
                <a:pt x="179661" y="131321"/>
              </a:lnTo>
              <a:lnTo>
                <a:pt x="173324" y="154510"/>
              </a:lnTo>
              <a:lnTo>
                <a:pt x="156205" y="198089"/>
              </a:lnTo>
              <a:lnTo>
                <a:pt x="131139" y="253325"/>
              </a:lnTo>
              <a:lnTo>
                <a:pt x="100962" y="311488"/>
              </a:lnTo>
              <a:lnTo>
                <a:pt x="68510" y="363844"/>
              </a:lnTo>
              <a:lnTo>
                <a:pt x="36620" y="401661"/>
              </a:lnTo>
              <a:lnTo>
                <a:pt x="8127" y="416207"/>
              </a:lnTo>
              <a:lnTo>
                <a:pt x="34572" y="416207"/>
              </a:lnTo>
              <a:lnTo>
                <a:pt x="35992" y="415719"/>
              </a:lnTo>
              <a:lnTo>
                <a:pt x="58122" y="396477"/>
              </a:lnTo>
              <a:lnTo>
                <a:pt x="84984" y="362397"/>
              </a:lnTo>
              <a:lnTo>
                <a:pt x="116779" y="311835"/>
              </a:lnTo>
              <a:lnTo>
                <a:pt x="120982" y="310551"/>
              </a:lnTo>
              <a:lnTo>
                <a:pt x="116779" y="310551"/>
              </a:lnTo>
              <a:lnTo>
                <a:pt x="147117" y="255003"/>
              </a:lnTo>
              <a:lnTo>
                <a:pt x="167309" y="212328"/>
              </a:lnTo>
              <a:lnTo>
                <a:pt x="179881" y="179838"/>
              </a:lnTo>
              <a:lnTo>
                <a:pt x="187360" y="154848"/>
              </a:lnTo>
              <a:lnTo>
                <a:pt x="202375" y="154848"/>
              </a:lnTo>
              <a:lnTo>
                <a:pt x="192921" y="130038"/>
              </a:lnTo>
              <a:lnTo>
                <a:pt x="196012" y="108222"/>
              </a:lnTo>
              <a:lnTo>
                <a:pt x="187360" y="108222"/>
              </a:lnTo>
              <a:lnTo>
                <a:pt x="182441" y="89454"/>
              </a:lnTo>
              <a:lnTo>
                <a:pt x="179126" y="71328"/>
              </a:lnTo>
              <a:lnTo>
                <a:pt x="177254" y="54325"/>
              </a:lnTo>
              <a:lnTo>
                <a:pt x="176666" y="38925"/>
              </a:lnTo>
              <a:lnTo>
                <a:pt x="176791" y="33204"/>
              </a:lnTo>
              <a:lnTo>
                <a:pt x="176807" y="32462"/>
              </a:lnTo>
              <a:lnTo>
                <a:pt x="177789" y="21548"/>
              </a:lnTo>
              <a:lnTo>
                <a:pt x="180456" y="10232"/>
              </a:lnTo>
              <a:lnTo>
                <a:pt x="185649" y="2566"/>
              </a:lnTo>
              <a:lnTo>
                <a:pt x="196068" y="2566"/>
              </a:lnTo>
              <a:lnTo>
                <a:pt x="190569" y="427"/>
              </a:lnTo>
              <a:lnTo>
                <a:pt x="179661" y="0"/>
              </a:lnTo>
              <a:close/>
            </a:path>
            <a:path w="420370" h="417195">
              <a:moveTo>
                <a:pt x="415787" y="309696"/>
              </a:moveTo>
              <a:lnTo>
                <a:pt x="403809" y="309696"/>
              </a:lnTo>
              <a:lnTo>
                <a:pt x="399104" y="313973"/>
              </a:lnTo>
              <a:lnTo>
                <a:pt x="399104" y="325523"/>
              </a:lnTo>
              <a:lnTo>
                <a:pt x="403809" y="329800"/>
              </a:lnTo>
              <a:lnTo>
                <a:pt x="415787" y="329800"/>
              </a:lnTo>
              <a:lnTo>
                <a:pt x="417926" y="327662"/>
              </a:lnTo>
              <a:lnTo>
                <a:pt x="405093" y="327662"/>
              </a:lnTo>
              <a:lnTo>
                <a:pt x="401243" y="324240"/>
              </a:lnTo>
              <a:lnTo>
                <a:pt x="401243" y="315257"/>
              </a:lnTo>
              <a:lnTo>
                <a:pt x="405093" y="311835"/>
              </a:lnTo>
              <a:lnTo>
                <a:pt x="417926" y="311835"/>
              </a:lnTo>
              <a:lnTo>
                <a:pt x="415787" y="309696"/>
              </a:lnTo>
              <a:close/>
            </a:path>
            <a:path w="420370" h="417195">
              <a:moveTo>
                <a:pt x="417926" y="311835"/>
              </a:moveTo>
              <a:lnTo>
                <a:pt x="414503" y="311835"/>
              </a:lnTo>
              <a:lnTo>
                <a:pt x="417498" y="315257"/>
              </a:lnTo>
              <a:lnTo>
                <a:pt x="417498" y="324240"/>
              </a:lnTo>
              <a:lnTo>
                <a:pt x="414503" y="327662"/>
              </a:lnTo>
              <a:lnTo>
                <a:pt x="417926" y="327662"/>
              </a:lnTo>
              <a:lnTo>
                <a:pt x="420064" y="325523"/>
              </a:lnTo>
              <a:lnTo>
                <a:pt x="420064" y="313973"/>
              </a:lnTo>
              <a:lnTo>
                <a:pt x="417926" y="311835"/>
              </a:lnTo>
              <a:close/>
            </a:path>
            <a:path w="420370" h="417195">
              <a:moveTo>
                <a:pt x="412365" y="313118"/>
              </a:moveTo>
              <a:lnTo>
                <a:pt x="405520" y="313118"/>
              </a:lnTo>
              <a:lnTo>
                <a:pt x="405520" y="325523"/>
              </a:lnTo>
              <a:lnTo>
                <a:pt x="407659" y="325523"/>
              </a:lnTo>
              <a:lnTo>
                <a:pt x="407659" y="320817"/>
              </a:lnTo>
              <a:lnTo>
                <a:pt x="413078" y="320817"/>
              </a:lnTo>
              <a:lnTo>
                <a:pt x="412792" y="320390"/>
              </a:lnTo>
              <a:lnTo>
                <a:pt x="411509" y="319962"/>
              </a:lnTo>
              <a:lnTo>
                <a:pt x="414076" y="319106"/>
              </a:lnTo>
              <a:lnTo>
                <a:pt x="407659" y="319106"/>
              </a:lnTo>
              <a:lnTo>
                <a:pt x="407659" y="315684"/>
              </a:lnTo>
              <a:lnTo>
                <a:pt x="413790" y="315684"/>
              </a:lnTo>
              <a:lnTo>
                <a:pt x="413719" y="315257"/>
              </a:lnTo>
              <a:lnTo>
                <a:pt x="413648" y="314829"/>
              </a:lnTo>
              <a:lnTo>
                <a:pt x="412365" y="313118"/>
              </a:lnTo>
              <a:close/>
            </a:path>
            <a:path w="420370" h="417195">
              <a:moveTo>
                <a:pt x="413078" y="320817"/>
              </a:moveTo>
              <a:lnTo>
                <a:pt x="410226" y="320817"/>
              </a:lnTo>
              <a:lnTo>
                <a:pt x="411081" y="322101"/>
              </a:lnTo>
              <a:lnTo>
                <a:pt x="411509" y="323384"/>
              </a:lnTo>
              <a:lnTo>
                <a:pt x="411937" y="325523"/>
              </a:lnTo>
              <a:lnTo>
                <a:pt x="414076" y="325523"/>
              </a:lnTo>
              <a:lnTo>
                <a:pt x="413648" y="323384"/>
              </a:lnTo>
              <a:lnTo>
                <a:pt x="413648" y="321673"/>
              </a:lnTo>
              <a:lnTo>
                <a:pt x="413078" y="320817"/>
              </a:lnTo>
              <a:close/>
            </a:path>
            <a:path w="420370" h="417195">
              <a:moveTo>
                <a:pt x="413790" y="315684"/>
              </a:moveTo>
              <a:lnTo>
                <a:pt x="410654" y="315684"/>
              </a:lnTo>
              <a:lnTo>
                <a:pt x="411509" y="316112"/>
              </a:lnTo>
              <a:lnTo>
                <a:pt x="411509" y="318679"/>
              </a:lnTo>
              <a:lnTo>
                <a:pt x="410226" y="319106"/>
              </a:lnTo>
              <a:lnTo>
                <a:pt x="414076" y="319106"/>
              </a:lnTo>
              <a:lnTo>
                <a:pt x="414076" y="317395"/>
              </a:lnTo>
              <a:lnTo>
                <a:pt x="413862" y="316112"/>
              </a:lnTo>
              <a:lnTo>
                <a:pt x="413790" y="315684"/>
              </a:lnTo>
              <a:close/>
            </a:path>
            <a:path w="420370" h="417195">
              <a:moveTo>
                <a:pt x="202375" y="154848"/>
              </a:moveTo>
              <a:lnTo>
                <a:pt x="187360" y="154848"/>
              </a:lnTo>
              <a:lnTo>
                <a:pt x="210446" y="201199"/>
              </a:lnTo>
              <a:lnTo>
                <a:pt x="234415" y="232753"/>
              </a:lnTo>
              <a:lnTo>
                <a:pt x="256779" y="252837"/>
              </a:lnTo>
              <a:lnTo>
                <a:pt x="275052" y="264781"/>
              </a:lnTo>
              <a:lnTo>
                <a:pt x="236342" y="272481"/>
              </a:lnTo>
              <a:lnTo>
                <a:pt x="196557" y="282533"/>
              </a:lnTo>
              <a:lnTo>
                <a:pt x="156187" y="295219"/>
              </a:lnTo>
              <a:lnTo>
                <a:pt x="116779" y="310551"/>
              </a:lnTo>
              <a:lnTo>
                <a:pt x="120982" y="310551"/>
              </a:lnTo>
              <a:lnTo>
                <a:pt x="156855" y="299597"/>
              </a:lnTo>
              <a:lnTo>
                <a:pt x="200621" y="289324"/>
              </a:lnTo>
              <a:lnTo>
                <a:pt x="245991" y="281217"/>
              </a:lnTo>
              <a:lnTo>
                <a:pt x="290879" y="275475"/>
              </a:lnTo>
              <a:lnTo>
                <a:pt x="323000" y="275475"/>
              </a:lnTo>
              <a:lnTo>
                <a:pt x="316118" y="272481"/>
              </a:lnTo>
              <a:lnTo>
                <a:pt x="345132" y="271151"/>
              </a:lnTo>
              <a:lnTo>
                <a:pt x="411339" y="271151"/>
              </a:lnTo>
              <a:lnTo>
                <a:pt x="400227" y="265156"/>
              </a:lnTo>
              <a:lnTo>
                <a:pt x="384272" y="261787"/>
              </a:lnTo>
              <a:lnTo>
                <a:pt x="297296" y="261787"/>
              </a:lnTo>
              <a:lnTo>
                <a:pt x="287370" y="256106"/>
              </a:lnTo>
              <a:lnTo>
                <a:pt x="237556" y="215395"/>
              </a:lnTo>
              <a:lnTo>
                <a:pt x="204538" y="160522"/>
              </a:lnTo>
              <a:lnTo>
                <a:pt x="202375" y="154848"/>
              </a:lnTo>
              <a:close/>
            </a:path>
            <a:path w="420370" h="417195">
              <a:moveTo>
                <a:pt x="323000" y="275475"/>
              </a:moveTo>
              <a:lnTo>
                <a:pt x="290879" y="275475"/>
              </a:lnTo>
              <a:lnTo>
                <a:pt x="318951" y="288161"/>
              </a:lnTo>
              <a:lnTo>
                <a:pt x="346703" y="297719"/>
              </a:lnTo>
              <a:lnTo>
                <a:pt x="372208" y="303747"/>
              </a:lnTo>
              <a:lnTo>
                <a:pt x="393543" y="305846"/>
              </a:lnTo>
              <a:lnTo>
                <a:pt x="406804" y="305846"/>
              </a:lnTo>
              <a:lnTo>
                <a:pt x="414076" y="302852"/>
              </a:lnTo>
              <a:lnTo>
                <a:pt x="415038" y="299002"/>
              </a:lnTo>
              <a:lnTo>
                <a:pt x="402526" y="299002"/>
              </a:lnTo>
              <a:lnTo>
                <a:pt x="385596" y="297084"/>
              </a:lnTo>
              <a:lnTo>
                <a:pt x="364615" y="291677"/>
              </a:lnTo>
              <a:lnTo>
                <a:pt x="340988" y="283302"/>
              </a:lnTo>
              <a:lnTo>
                <a:pt x="323000" y="275475"/>
              </a:lnTo>
              <a:close/>
            </a:path>
            <a:path w="420370" h="417195">
              <a:moveTo>
                <a:pt x="415787" y="296008"/>
              </a:moveTo>
              <a:lnTo>
                <a:pt x="412792" y="297291"/>
              </a:lnTo>
              <a:lnTo>
                <a:pt x="408087" y="299002"/>
              </a:lnTo>
              <a:lnTo>
                <a:pt x="415038" y="299002"/>
              </a:lnTo>
              <a:lnTo>
                <a:pt x="415787" y="296008"/>
              </a:lnTo>
              <a:close/>
            </a:path>
            <a:path w="420370" h="417195">
              <a:moveTo>
                <a:pt x="411339" y="271151"/>
              </a:moveTo>
              <a:lnTo>
                <a:pt x="345132" y="271151"/>
              </a:lnTo>
              <a:lnTo>
                <a:pt x="378839" y="272107"/>
              </a:lnTo>
              <a:lnTo>
                <a:pt x="406530" y="277955"/>
              </a:lnTo>
              <a:lnTo>
                <a:pt x="417498" y="291302"/>
              </a:lnTo>
              <a:lnTo>
                <a:pt x="418781" y="288308"/>
              </a:lnTo>
              <a:lnTo>
                <a:pt x="420064" y="287025"/>
              </a:lnTo>
              <a:lnTo>
                <a:pt x="420064" y="284030"/>
              </a:lnTo>
              <a:lnTo>
                <a:pt x="414858" y="273049"/>
              </a:lnTo>
              <a:lnTo>
                <a:pt x="411339" y="271151"/>
              </a:lnTo>
              <a:close/>
            </a:path>
            <a:path w="420370" h="417195">
              <a:moveTo>
                <a:pt x="348628" y="258793"/>
              </a:moveTo>
              <a:lnTo>
                <a:pt x="337178" y="259080"/>
              </a:lnTo>
              <a:lnTo>
                <a:pt x="324726" y="259809"/>
              </a:lnTo>
              <a:lnTo>
                <a:pt x="297296" y="261787"/>
              </a:lnTo>
              <a:lnTo>
                <a:pt x="384272" y="261787"/>
              </a:lnTo>
              <a:lnTo>
                <a:pt x="377655" y="260390"/>
              </a:lnTo>
              <a:lnTo>
                <a:pt x="348628" y="258793"/>
              </a:lnTo>
              <a:close/>
            </a:path>
            <a:path w="420370" h="417195">
              <a:moveTo>
                <a:pt x="200193" y="35076"/>
              </a:moveTo>
              <a:lnTo>
                <a:pt x="197887" y="47708"/>
              </a:lnTo>
              <a:lnTo>
                <a:pt x="195335" y="63254"/>
              </a:lnTo>
              <a:lnTo>
                <a:pt x="191832" y="84040"/>
              </a:lnTo>
              <a:lnTo>
                <a:pt x="187420" y="107901"/>
              </a:lnTo>
              <a:lnTo>
                <a:pt x="187360" y="108222"/>
              </a:lnTo>
              <a:lnTo>
                <a:pt x="196012" y="108222"/>
              </a:lnTo>
              <a:lnTo>
                <a:pt x="196404" y="105455"/>
              </a:lnTo>
              <a:lnTo>
                <a:pt x="198322" y="81915"/>
              </a:lnTo>
              <a:lnTo>
                <a:pt x="199358" y="58696"/>
              </a:lnTo>
              <a:lnTo>
                <a:pt x="200193" y="35076"/>
              </a:lnTo>
              <a:close/>
            </a:path>
            <a:path w="420370" h="417195">
              <a:moveTo>
                <a:pt x="196068" y="2566"/>
              </a:moveTo>
              <a:lnTo>
                <a:pt x="185649" y="2566"/>
              </a:lnTo>
              <a:lnTo>
                <a:pt x="190268" y="5480"/>
              </a:lnTo>
              <a:lnTo>
                <a:pt x="194723" y="10232"/>
              </a:lnTo>
              <a:lnTo>
                <a:pt x="198222" y="17243"/>
              </a:lnTo>
              <a:lnTo>
                <a:pt x="200193" y="27376"/>
              </a:lnTo>
              <a:lnTo>
                <a:pt x="201797" y="11549"/>
              </a:lnTo>
              <a:lnTo>
                <a:pt x="198268" y="3422"/>
              </a:lnTo>
              <a:lnTo>
                <a:pt x="196068" y="2566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  <xdr:oneCellAnchor>
    <xdr:from>
      <xdr:col>19</xdr:col>
      <xdr:colOff>0</xdr:colOff>
      <xdr:row>1</xdr:row>
      <xdr:rowOff>0</xdr:rowOff>
    </xdr:from>
    <xdr:ext cx="403860" cy="40132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0"/>
          <a:ext cx="403860" cy="401320"/>
        </a:xfrm>
        <a:custGeom>
          <a:avLst/>
          <a:gdLst/>
          <a:ahLst/>
          <a:cxnLst/>
          <a:rect l="0" t="0" r="0" b="0"/>
          <a:pathLst>
            <a:path w="403860" h="401320">
              <a:moveTo>
                <a:pt x="72743" y="316046"/>
              </a:moveTo>
              <a:lnTo>
                <a:pt x="37624" y="338881"/>
              </a:lnTo>
              <a:lnTo>
                <a:pt x="15257" y="360946"/>
              </a:lnTo>
              <a:lnTo>
                <a:pt x="3448" y="380083"/>
              </a:lnTo>
              <a:lnTo>
                <a:pt x="0" y="394133"/>
              </a:lnTo>
              <a:lnTo>
                <a:pt x="0" y="400707"/>
              </a:lnTo>
              <a:lnTo>
                <a:pt x="30829" y="400707"/>
              </a:lnTo>
              <a:lnTo>
                <a:pt x="33216" y="399887"/>
              </a:lnTo>
              <a:lnTo>
                <a:pt x="7808" y="399887"/>
              </a:lnTo>
              <a:lnTo>
                <a:pt x="11366" y="384937"/>
              </a:lnTo>
              <a:lnTo>
                <a:pt x="24556" y="363823"/>
              </a:lnTo>
              <a:lnTo>
                <a:pt x="45606" y="339780"/>
              </a:lnTo>
              <a:lnTo>
                <a:pt x="72743" y="316046"/>
              </a:lnTo>
              <a:close/>
            </a:path>
            <a:path w="403860" h="401320">
              <a:moveTo>
                <a:pt x="172612" y="0"/>
              </a:moveTo>
              <a:lnTo>
                <a:pt x="164534" y="5394"/>
              </a:lnTo>
              <a:lnTo>
                <a:pt x="160385" y="17877"/>
              </a:lnTo>
              <a:lnTo>
                <a:pt x="158935" y="31189"/>
              </a:lnTo>
              <a:lnTo>
                <a:pt x="158857" y="31902"/>
              </a:lnTo>
              <a:lnTo>
                <a:pt x="158737" y="37399"/>
              </a:lnTo>
              <a:lnTo>
                <a:pt x="158639" y="41920"/>
              </a:lnTo>
              <a:lnTo>
                <a:pt x="158934" y="50981"/>
              </a:lnTo>
              <a:lnTo>
                <a:pt x="164752" y="92535"/>
              </a:lnTo>
              <a:lnTo>
                <a:pt x="172612" y="126172"/>
              </a:lnTo>
              <a:lnTo>
                <a:pt x="166524" y="148451"/>
              </a:lnTo>
              <a:lnTo>
                <a:pt x="150076" y="190321"/>
              </a:lnTo>
              <a:lnTo>
                <a:pt x="125994" y="243392"/>
              </a:lnTo>
              <a:lnTo>
                <a:pt x="97001" y="299274"/>
              </a:lnTo>
              <a:lnTo>
                <a:pt x="65823" y="349577"/>
              </a:lnTo>
              <a:lnTo>
                <a:pt x="35183" y="385911"/>
              </a:lnTo>
              <a:lnTo>
                <a:pt x="7808" y="399887"/>
              </a:lnTo>
              <a:lnTo>
                <a:pt x="33216" y="399887"/>
              </a:lnTo>
              <a:lnTo>
                <a:pt x="34580" y="399418"/>
              </a:lnTo>
              <a:lnTo>
                <a:pt x="55842" y="380930"/>
              </a:lnTo>
              <a:lnTo>
                <a:pt x="81650" y="348186"/>
              </a:lnTo>
              <a:lnTo>
                <a:pt x="112198" y="299607"/>
              </a:lnTo>
              <a:lnTo>
                <a:pt x="116235" y="298374"/>
              </a:lnTo>
              <a:lnTo>
                <a:pt x="112198" y="298374"/>
              </a:lnTo>
              <a:lnTo>
                <a:pt x="141345" y="245004"/>
              </a:lnTo>
              <a:lnTo>
                <a:pt x="160745" y="204002"/>
              </a:lnTo>
              <a:lnTo>
                <a:pt x="172824" y="172786"/>
              </a:lnTo>
              <a:lnTo>
                <a:pt x="180010" y="148776"/>
              </a:lnTo>
              <a:lnTo>
                <a:pt x="194436" y="148776"/>
              </a:lnTo>
              <a:lnTo>
                <a:pt x="185353" y="124939"/>
              </a:lnTo>
              <a:lnTo>
                <a:pt x="188322" y="103978"/>
              </a:lnTo>
              <a:lnTo>
                <a:pt x="180010" y="103978"/>
              </a:lnTo>
              <a:lnTo>
                <a:pt x="175284" y="85947"/>
              </a:lnTo>
              <a:lnTo>
                <a:pt x="172098" y="68531"/>
              </a:lnTo>
              <a:lnTo>
                <a:pt x="170300" y="52194"/>
              </a:lnTo>
              <a:lnTo>
                <a:pt x="169735" y="37399"/>
              </a:lnTo>
              <a:lnTo>
                <a:pt x="169855" y="31902"/>
              </a:lnTo>
              <a:lnTo>
                <a:pt x="169870" y="31189"/>
              </a:lnTo>
              <a:lnTo>
                <a:pt x="170814" y="20703"/>
              </a:lnTo>
              <a:lnTo>
                <a:pt x="173376" y="9831"/>
              </a:lnTo>
              <a:lnTo>
                <a:pt x="178366" y="2465"/>
              </a:lnTo>
              <a:lnTo>
                <a:pt x="188376" y="2465"/>
              </a:lnTo>
              <a:lnTo>
                <a:pt x="183092" y="410"/>
              </a:lnTo>
              <a:lnTo>
                <a:pt x="172612" y="0"/>
              </a:lnTo>
              <a:close/>
            </a:path>
            <a:path w="403860" h="401320">
              <a:moveTo>
                <a:pt x="399475" y="297552"/>
              </a:moveTo>
              <a:lnTo>
                <a:pt x="387967" y="297552"/>
              </a:lnTo>
              <a:lnTo>
                <a:pt x="383446" y="301662"/>
              </a:lnTo>
              <a:lnTo>
                <a:pt x="383446" y="312758"/>
              </a:lnTo>
              <a:lnTo>
                <a:pt x="387967" y="316868"/>
              </a:lnTo>
              <a:lnTo>
                <a:pt x="399475" y="316868"/>
              </a:lnTo>
              <a:lnTo>
                <a:pt x="401530" y="314813"/>
              </a:lnTo>
              <a:lnTo>
                <a:pt x="389200" y="314813"/>
              </a:lnTo>
              <a:lnTo>
                <a:pt x="385501" y="311525"/>
              </a:lnTo>
              <a:lnTo>
                <a:pt x="385501" y="302895"/>
              </a:lnTo>
              <a:lnTo>
                <a:pt x="389200" y="299607"/>
              </a:lnTo>
              <a:lnTo>
                <a:pt x="401530" y="299607"/>
              </a:lnTo>
              <a:lnTo>
                <a:pt x="399475" y="297552"/>
              </a:lnTo>
              <a:close/>
            </a:path>
            <a:path w="403860" h="401320">
              <a:moveTo>
                <a:pt x="401530" y="299607"/>
              </a:moveTo>
              <a:lnTo>
                <a:pt x="398242" y="299607"/>
              </a:lnTo>
              <a:lnTo>
                <a:pt x="401119" y="302895"/>
              </a:lnTo>
              <a:lnTo>
                <a:pt x="401119" y="311525"/>
              </a:lnTo>
              <a:lnTo>
                <a:pt x="398242" y="314813"/>
              </a:lnTo>
              <a:lnTo>
                <a:pt x="401530" y="314813"/>
              </a:lnTo>
              <a:lnTo>
                <a:pt x="403584" y="312758"/>
              </a:lnTo>
              <a:lnTo>
                <a:pt x="403584" y="301662"/>
              </a:lnTo>
              <a:lnTo>
                <a:pt x="401530" y="299607"/>
              </a:lnTo>
              <a:close/>
            </a:path>
            <a:path w="403860" h="401320">
              <a:moveTo>
                <a:pt x="396187" y="300840"/>
              </a:moveTo>
              <a:lnTo>
                <a:pt x="389611" y="300840"/>
              </a:lnTo>
              <a:lnTo>
                <a:pt x="389611" y="312758"/>
              </a:lnTo>
              <a:lnTo>
                <a:pt x="391666" y="312758"/>
              </a:lnTo>
              <a:lnTo>
                <a:pt x="391666" y="308237"/>
              </a:lnTo>
              <a:lnTo>
                <a:pt x="396872" y="308237"/>
              </a:lnTo>
              <a:lnTo>
                <a:pt x="396598" y="307826"/>
              </a:lnTo>
              <a:lnTo>
                <a:pt x="395365" y="307415"/>
              </a:lnTo>
              <a:lnTo>
                <a:pt x="397831" y="306594"/>
              </a:lnTo>
              <a:lnTo>
                <a:pt x="391666" y="306594"/>
              </a:lnTo>
              <a:lnTo>
                <a:pt x="391666" y="303306"/>
              </a:lnTo>
              <a:lnTo>
                <a:pt x="397557" y="303306"/>
              </a:lnTo>
              <a:lnTo>
                <a:pt x="397488" y="302895"/>
              </a:lnTo>
              <a:lnTo>
                <a:pt x="397420" y="302484"/>
              </a:lnTo>
              <a:lnTo>
                <a:pt x="396187" y="300840"/>
              </a:lnTo>
              <a:close/>
            </a:path>
            <a:path w="403860" h="401320">
              <a:moveTo>
                <a:pt x="396872" y="308237"/>
              </a:moveTo>
              <a:lnTo>
                <a:pt x="394132" y="308237"/>
              </a:lnTo>
              <a:lnTo>
                <a:pt x="394954" y="309470"/>
              </a:lnTo>
              <a:lnTo>
                <a:pt x="395365" y="310703"/>
              </a:lnTo>
              <a:lnTo>
                <a:pt x="395776" y="312758"/>
              </a:lnTo>
              <a:lnTo>
                <a:pt x="397831" y="312758"/>
              </a:lnTo>
              <a:lnTo>
                <a:pt x="397420" y="310703"/>
              </a:lnTo>
              <a:lnTo>
                <a:pt x="397420" y="309059"/>
              </a:lnTo>
              <a:lnTo>
                <a:pt x="396872" y="308237"/>
              </a:lnTo>
              <a:close/>
            </a:path>
            <a:path w="403860" h="401320">
              <a:moveTo>
                <a:pt x="397557" y="303306"/>
              </a:moveTo>
              <a:lnTo>
                <a:pt x="394543" y="303306"/>
              </a:lnTo>
              <a:lnTo>
                <a:pt x="395365" y="303717"/>
              </a:lnTo>
              <a:lnTo>
                <a:pt x="395365" y="306183"/>
              </a:lnTo>
              <a:lnTo>
                <a:pt x="394132" y="306594"/>
              </a:lnTo>
              <a:lnTo>
                <a:pt x="397831" y="306594"/>
              </a:lnTo>
              <a:lnTo>
                <a:pt x="397831" y="304950"/>
              </a:lnTo>
              <a:lnTo>
                <a:pt x="397625" y="303717"/>
              </a:lnTo>
              <a:lnTo>
                <a:pt x="397557" y="303306"/>
              </a:lnTo>
              <a:close/>
            </a:path>
            <a:path w="403860" h="401320">
              <a:moveTo>
                <a:pt x="194436" y="148776"/>
              </a:moveTo>
              <a:lnTo>
                <a:pt x="180010" y="148776"/>
              </a:lnTo>
              <a:lnTo>
                <a:pt x="202190" y="193310"/>
              </a:lnTo>
              <a:lnTo>
                <a:pt x="225218" y="223626"/>
              </a:lnTo>
              <a:lnTo>
                <a:pt x="246705" y="242923"/>
              </a:lnTo>
              <a:lnTo>
                <a:pt x="264261" y="254399"/>
              </a:lnTo>
              <a:lnTo>
                <a:pt x="227070" y="261796"/>
              </a:lnTo>
              <a:lnTo>
                <a:pt x="188846" y="271454"/>
              </a:lnTo>
              <a:lnTo>
                <a:pt x="150060" y="283643"/>
              </a:lnTo>
              <a:lnTo>
                <a:pt x="112198" y="298374"/>
              </a:lnTo>
              <a:lnTo>
                <a:pt x="116235" y="298374"/>
              </a:lnTo>
              <a:lnTo>
                <a:pt x="150702" y="287849"/>
              </a:lnTo>
              <a:lnTo>
                <a:pt x="192750" y="277979"/>
              </a:lnTo>
              <a:lnTo>
                <a:pt x="236340" y="270189"/>
              </a:lnTo>
              <a:lnTo>
                <a:pt x="279468" y="264673"/>
              </a:lnTo>
              <a:lnTo>
                <a:pt x="310328" y="264673"/>
              </a:lnTo>
              <a:lnTo>
                <a:pt x="303716" y="261796"/>
              </a:lnTo>
              <a:lnTo>
                <a:pt x="331592" y="260518"/>
              </a:lnTo>
              <a:lnTo>
                <a:pt x="395202" y="260518"/>
              </a:lnTo>
              <a:lnTo>
                <a:pt x="384525" y="254758"/>
              </a:lnTo>
              <a:lnTo>
                <a:pt x="369196" y="251522"/>
              </a:lnTo>
              <a:lnTo>
                <a:pt x="285632" y="251522"/>
              </a:lnTo>
              <a:lnTo>
                <a:pt x="276096" y="246063"/>
              </a:lnTo>
              <a:lnTo>
                <a:pt x="228236" y="206949"/>
              </a:lnTo>
              <a:lnTo>
                <a:pt x="196513" y="154228"/>
              </a:lnTo>
              <a:lnTo>
                <a:pt x="194436" y="148776"/>
              </a:lnTo>
              <a:close/>
            </a:path>
            <a:path w="403860" h="401320">
              <a:moveTo>
                <a:pt x="310328" y="264673"/>
              </a:moveTo>
              <a:lnTo>
                <a:pt x="279468" y="264673"/>
              </a:lnTo>
              <a:lnTo>
                <a:pt x="306438" y="276861"/>
              </a:lnTo>
              <a:lnTo>
                <a:pt x="333101" y="286044"/>
              </a:lnTo>
              <a:lnTo>
                <a:pt x="357606" y="291837"/>
              </a:lnTo>
              <a:lnTo>
                <a:pt x="378104" y="293853"/>
              </a:lnTo>
              <a:lnTo>
                <a:pt x="390844" y="293853"/>
              </a:lnTo>
              <a:lnTo>
                <a:pt x="397831" y="290976"/>
              </a:lnTo>
              <a:lnTo>
                <a:pt x="398755" y="287277"/>
              </a:lnTo>
              <a:lnTo>
                <a:pt x="386734" y="287277"/>
              </a:lnTo>
              <a:lnTo>
                <a:pt x="370468" y="285434"/>
              </a:lnTo>
              <a:lnTo>
                <a:pt x="350311" y="280239"/>
              </a:lnTo>
              <a:lnTo>
                <a:pt x="327610" y="272193"/>
              </a:lnTo>
              <a:lnTo>
                <a:pt x="310328" y="264673"/>
              </a:lnTo>
              <a:close/>
            </a:path>
            <a:path w="403860" h="401320">
              <a:moveTo>
                <a:pt x="399475" y="284400"/>
              </a:moveTo>
              <a:lnTo>
                <a:pt x="396598" y="285633"/>
              </a:lnTo>
              <a:lnTo>
                <a:pt x="392077" y="287277"/>
              </a:lnTo>
              <a:lnTo>
                <a:pt x="398755" y="287277"/>
              </a:lnTo>
              <a:lnTo>
                <a:pt x="399475" y="284400"/>
              </a:lnTo>
              <a:close/>
            </a:path>
            <a:path w="403860" h="401320">
              <a:moveTo>
                <a:pt x="395202" y="260518"/>
              </a:moveTo>
              <a:lnTo>
                <a:pt x="331592" y="260518"/>
              </a:lnTo>
              <a:lnTo>
                <a:pt x="363976" y="261437"/>
              </a:lnTo>
              <a:lnTo>
                <a:pt x="390581" y="267056"/>
              </a:lnTo>
              <a:lnTo>
                <a:pt x="401119" y="279880"/>
              </a:lnTo>
              <a:lnTo>
                <a:pt x="402352" y="277003"/>
              </a:lnTo>
              <a:lnTo>
                <a:pt x="403580" y="275770"/>
              </a:lnTo>
              <a:lnTo>
                <a:pt x="403580" y="272893"/>
              </a:lnTo>
              <a:lnTo>
                <a:pt x="398582" y="262342"/>
              </a:lnTo>
              <a:lnTo>
                <a:pt x="395202" y="260518"/>
              </a:lnTo>
              <a:close/>
            </a:path>
            <a:path w="403860" h="401320">
              <a:moveTo>
                <a:pt x="334950" y="248645"/>
              </a:moveTo>
              <a:lnTo>
                <a:pt x="323950" y="248921"/>
              </a:lnTo>
              <a:lnTo>
                <a:pt x="311987" y="249621"/>
              </a:lnTo>
              <a:lnTo>
                <a:pt x="285632" y="251522"/>
              </a:lnTo>
              <a:lnTo>
                <a:pt x="369196" y="251522"/>
              </a:lnTo>
              <a:lnTo>
                <a:pt x="362839" y="250180"/>
              </a:lnTo>
              <a:lnTo>
                <a:pt x="334950" y="248645"/>
              </a:lnTo>
              <a:close/>
            </a:path>
            <a:path w="403860" h="401320">
              <a:moveTo>
                <a:pt x="192339" y="33700"/>
              </a:moveTo>
              <a:lnTo>
                <a:pt x="190124" y="45837"/>
              </a:lnTo>
              <a:lnTo>
                <a:pt x="187671" y="60774"/>
              </a:lnTo>
              <a:lnTo>
                <a:pt x="184306" y="80745"/>
              </a:lnTo>
              <a:lnTo>
                <a:pt x="180067" y="103670"/>
              </a:lnTo>
              <a:lnTo>
                <a:pt x="180010" y="103978"/>
              </a:lnTo>
              <a:lnTo>
                <a:pt x="188322" y="103978"/>
              </a:lnTo>
              <a:lnTo>
                <a:pt x="188698" y="101320"/>
              </a:lnTo>
              <a:lnTo>
                <a:pt x="190541" y="78703"/>
              </a:lnTo>
              <a:lnTo>
                <a:pt x="191537" y="56394"/>
              </a:lnTo>
              <a:lnTo>
                <a:pt x="192339" y="33700"/>
              </a:lnTo>
              <a:close/>
            </a:path>
            <a:path w="403860" h="401320">
              <a:moveTo>
                <a:pt x="188376" y="2465"/>
              </a:moveTo>
              <a:lnTo>
                <a:pt x="178366" y="2465"/>
              </a:lnTo>
              <a:lnTo>
                <a:pt x="182803" y="5265"/>
              </a:lnTo>
              <a:lnTo>
                <a:pt x="187083" y="9831"/>
              </a:lnTo>
              <a:lnTo>
                <a:pt x="190445" y="16567"/>
              </a:lnTo>
              <a:lnTo>
                <a:pt x="192339" y="26302"/>
              </a:lnTo>
              <a:lnTo>
                <a:pt x="193881" y="11096"/>
              </a:lnTo>
              <a:lnTo>
                <a:pt x="190490" y="3287"/>
              </a:lnTo>
              <a:lnTo>
                <a:pt x="188376" y="2465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326661</xdr:colOff>
      <xdr:row>0</xdr:row>
      <xdr:rowOff>0</xdr:rowOff>
    </xdr:from>
    <xdr:ext cx="411480" cy="408940"/>
    <xdr:sp macro="" textlink="">
      <xdr:nvSpPr>
        <xdr:cNvPr id="2" name="Shape 4">
          <a:extLst>
            <a:ext uri="{FF2B5EF4-FFF2-40B4-BE49-F238E27FC236}">
              <a16:creationId xmlns:a16="http://schemas.microsoft.com/office/drawing/2014/main" id="{E8C4875C-3660-43A6-BB68-67349BC066D5}"/>
            </a:ext>
          </a:extLst>
        </xdr:cNvPr>
        <xdr:cNvSpPr/>
      </xdr:nvSpPr>
      <xdr:spPr>
        <a:xfrm>
          <a:off x="12366261" y="0"/>
          <a:ext cx="411480" cy="408940"/>
        </a:xfrm>
        <a:custGeom>
          <a:avLst/>
          <a:gdLst/>
          <a:ahLst/>
          <a:cxnLst/>
          <a:rect l="0" t="0" r="0" b="0"/>
          <a:pathLst>
            <a:path w="411480" h="408940">
              <a:moveTo>
                <a:pt x="74136" y="322093"/>
              </a:moveTo>
              <a:lnTo>
                <a:pt x="38344" y="345365"/>
              </a:lnTo>
              <a:lnTo>
                <a:pt x="15549" y="367852"/>
              </a:lnTo>
              <a:lnTo>
                <a:pt x="3514" y="387354"/>
              </a:lnTo>
              <a:lnTo>
                <a:pt x="0" y="401674"/>
              </a:lnTo>
              <a:lnTo>
                <a:pt x="0" y="408377"/>
              </a:lnTo>
              <a:lnTo>
                <a:pt x="31410" y="408377"/>
              </a:lnTo>
              <a:lnTo>
                <a:pt x="33852" y="407537"/>
              </a:lnTo>
              <a:lnTo>
                <a:pt x="7958" y="407537"/>
              </a:lnTo>
              <a:lnTo>
                <a:pt x="11583" y="392302"/>
              </a:lnTo>
              <a:lnTo>
                <a:pt x="25026" y="370784"/>
              </a:lnTo>
              <a:lnTo>
                <a:pt x="46479" y="346281"/>
              </a:lnTo>
              <a:lnTo>
                <a:pt x="74136" y="322093"/>
              </a:lnTo>
              <a:close/>
            </a:path>
            <a:path w="411480" h="408940">
              <a:moveTo>
                <a:pt x="175917" y="0"/>
              </a:moveTo>
              <a:lnTo>
                <a:pt x="167684" y="5497"/>
              </a:lnTo>
              <a:lnTo>
                <a:pt x="163456" y="18219"/>
              </a:lnTo>
              <a:lnTo>
                <a:pt x="161977" y="31786"/>
              </a:lnTo>
              <a:lnTo>
                <a:pt x="161898" y="32512"/>
              </a:lnTo>
              <a:lnTo>
                <a:pt x="161776" y="38115"/>
              </a:lnTo>
              <a:lnTo>
                <a:pt x="161676" y="42722"/>
              </a:lnTo>
              <a:lnTo>
                <a:pt x="161977" y="51956"/>
              </a:lnTo>
              <a:lnTo>
                <a:pt x="167906" y="94305"/>
              </a:lnTo>
              <a:lnTo>
                <a:pt x="175917" y="128585"/>
              </a:lnTo>
              <a:lnTo>
                <a:pt x="169712" y="151291"/>
              </a:lnTo>
              <a:lnTo>
                <a:pt x="152949" y="193962"/>
              </a:lnTo>
              <a:lnTo>
                <a:pt x="128406" y="248048"/>
              </a:lnTo>
              <a:lnTo>
                <a:pt x="98858" y="304999"/>
              </a:lnTo>
              <a:lnTo>
                <a:pt x="67083" y="356265"/>
              </a:lnTo>
              <a:lnTo>
                <a:pt x="35857" y="393294"/>
              </a:lnTo>
              <a:lnTo>
                <a:pt x="7958" y="407537"/>
              </a:lnTo>
              <a:lnTo>
                <a:pt x="33852" y="407537"/>
              </a:lnTo>
              <a:lnTo>
                <a:pt x="35242" y="407060"/>
              </a:lnTo>
              <a:lnTo>
                <a:pt x="56911" y="388218"/>
              </a:lnTo>
              <a:lnTo>
                <a:pt x="83213" y="354848"/>
              </a:lnTo>
              <a:lnTo>
                <a:pt x="114346" y="305339"/>
              </a:lnTo>
              <a:lnTo>
                <a:pt x="118460" y="304082"/>
              </a:lnTo>
              <a:lnTo>
                <a:pt x="114346" y="304082"/>
              </a:lnTo>
              <a:lnTo>
                <a:pt x="144051" y="249691"/>
              </a:lnTo>
              <a:lnTo>
                <a:pt x="163822" y="207905"/>
              </a:lnTo>
              <a:lnTo>
                <a:pt x="176133" y="176092"/>
              </a:lnTo>
              <a:lnTo>
                <a:pt x="183456" y="151622"/>
              </a:lnTo>
              <a:lnTo>
                <a:pt x="198158" y="151622"/>
              </a:lnTo>
              <a:lnTo>
                <a:pt x="188901" y="127329"/>
              </a:lnTo>
              <a:lnTo>
                <a:pt x="191927" y="105968"/>
              </a:lnTo>
              <a:lnTo>
                <a:pt x="183456" y="105968"/>
              </a:lnTo>
              <a:lnTo>
                <a:pt x="178639" y="87591"/>
              </a:lnTo>
              <a:lnTo>
                <a:pt x="175393" y="69842"/>
              </a:lnTo>
              <a:lnTo>
                <a:pt x="173561" y="53193"/>
              </a:lnTo>
              <a:lnTo>
                <a:pt x="172985" y="38115"/>
              </a:lnTo>
              <a:lnTo>
                <a:pt x="173106" y="32512"/>
              </a:lnTo>
              <a:lnTo>
                <a:pt x="173122" y="31786"/>
              </a:lnTo>
              <a:lnTo>
                <a:pt x="174084" y="21099"/>
              </a:lnTo>
              <a:lnTo>
                <a:pt x="176695" y="10019"/>
              </a:lnTo>
              <a:lnTo>
                <a:pt x="181781" y="2513"/>
              </a:lnTo>
              <a:lnTo>
                <a:pt x="191983" y="2513"/>
              </a:lnTo>
              <a:lnTo>
                <a:pt x="186597" y="418"/>
              </a:lnTo>
              <a:lnTo>
                <a:pt x="175917" y="0"/>
              </a:lnTo>
              <a:close/>
            </a:path>
            <a:path w="411480" h="408940">
              <a:moveTo>
                <a:pt x="407122" y="303245"/>
              </a:moveTo>
              <a:lnTo>
                <a:pt x="395394" y="303245"/>
              </a:lnTo>
              <a:lnTo>
                <a:pt x="390787" y="307433"/>
              </a:lnTo>
              <a:lnTo>
                <a:pt x="390787" y="318742"/>
              </a:lnTo>
              <a:lnTo>
                <a:pt x="395394" y="322930"/>
              </a:lnTo>
              <a:lnTo>
                <a:pt x="407122" y="322930"/>
              </a:lnTo>
              <a:lnTo>
                <a:pt x="409216" y="320836"/>
              </a:lnTo>
              <a:lnTo>
                <a:pt x="396651" y="320836"/>
              </a:lnTo>
              <a:lnTo>
                <a:pt x="392881" y="317485"/>
              </a:lnTo>
              <a:lnTo>
                <a:pt x="392881" y="308690"/>
              </a:lnTo>
              <a:lnTo>
                <a:pt x="396651" y="305339"/>
              </a:lnTo>
              <a:lnTo>
                <a:pt x="409216" y="305339"/>
              </a:lnTo>
              <a:lnTo>
                <a:pt x="407122" y="303245"/>
              </a:lnTo>
              <a:close/>
            </a:path>
            <a:path w="411480" h="408940">
              <a:moveTo>
                <a:pt x="409216" y="305339"/>
              </a:moveTo>
              <a:lnTo>
                <a:pt x="405865" y="305339"/>
              </a:lnTo>
              <a:lnTo>
                <a:pt x="408797" y="308690"/>
              </a:lnTo>
              <a:lnTo>
                <a:pt x="408797" y="317485"/>
              </a:lnTo>
              <a:lnTo>
                <a:pt x="405865" y="320836"/>
              </a:lnTo>
              <a:lnTo>
                <a:pt x="409216" y="320836"/>
              </a:lnTo>
              <a:lnTo>
                <a:pt x="411311" y="318742"/>
              </a:lnTo>
              <a:lnTo>
                <a:pt x="411311" y="307433"/>
              </a:lnTo>
              <a:lnTo>
                <a:pt x="409216" y="305339"/>
              </a:lnTo>
              <a:close/>
            </a:path>
            <a:path w="411480" h="408940">
              <a:moveTo>
                <a:pt x="403771" y="306595"/>
              </a:moveTo>
              <a:lnTo>
                <a:pt x="397070" y="306595"/>
              </a:lnTo>
              <a:lnTo>
                <a:pt x="397070" y="318742"/>
              </a:lnTo>
              <a:lnTo>
                <a:pt x="399164" y="318742"/>
              </a:lnTo>
              <a:lnTo>
                <a:pt x="399164" y="314135"/>
              </a:lnTo>
              <a:lnTo>
                <a:pt x="404469" y="314135"/>
              </a:lnTo>
              <a:lnTo>
                <a:pt x="404190" y="313716"/>
              </a:lnTo>
              <a:lnTo>
                <a:pt x="402934" y="313297"/>
              </a:lnTo>
              <a:lnTo>
                <a:pt x="405447" y="312459"/>
              </a:lnTo>
              <a:lnTo>
                <a:pt x="399164" y="312459"/>
              </a:lnTo>
              <a:lnTo>
                <a:pt x="399164" y="309108"/>
              </a:lnTo>
              <a:lnTo>
                <a:pt x="405167" y="309108"/>
              </a:lnTo>
              <a:lnTo>
                <a:pt x="405098" y="308690"/>
              </a:lnTo>
              <a:lnTo>
                <a:pt x="405028" y="308271"/>
              </a:lnTo>
              <a:lnTo>
                <a:pt x="403771" y="306595"/>
              </a:lnTo>
              <a:close/>
            </a:path>
            <a:path w="411480" h="408940">
              <a:moveTo>
                <a:pt x="404469" y="314135"/>
              </a:moveTo>
              <a:lnTo>
                <a:pt x="401677" y="314135"/>
              </a:lnTo>
              <a:lnTo>
                <a:pt x="402515" y="315391"/>
              </a:lnTo>
              <a:lnTo>
                <a:pt x="402934" y="316648"/>
              </a:lnTo>
              <a:lnTo>
                <a:pt x="403352" y="318742"/>
              </a:lnTo>
              <a:lnTo>
                <a:pt x="405447" y="318742"/>
              </a:lnTo>
              <a:lnTo>
                <a:pt x="405028" y="316648"/>
              </a:lnTo>
              <a:lnTo>
                <a:pt x="405028" y="314972"/>
              </a:lnTo>
              <a:lnTo>
                <a:pt x="404469" y="314135"/>
              </a:lnTo>
              <a:close/>
            </a:path>
            <a:path w="411480" h="408940">
              <a:moveTo>
                <a:pt x="405167" y="309108"/>
              </a:moveTo>
              <a:lnTo>
                <a:pt x="402096" y="309108"/>
              </a:lnTo>
              <a:lnTo>
                <a:pt x="402934" y="309527"/>
              </a:lnTo>
              <a:lnTo>
                <a:pt x="402934" y="312040"/>
              </a:lnTo>
              <a:lnTo>
                <a:pt x="401677" y="312459"/>
              </a:lnTo>
              <a:lnTo>
                <a:pt x="405447" y="312459"/>
              </a:lnTo>
              <a:lnTo>
                <a:pt x="405447" y="310784"/>
              </a:lnTo>
              <a:lnTo>
                <a:pt x="405237" y="309527"/>
              </a:lnTo>
              <a:lnTo>
                <a:pt x="405167" y="309108"/>
              </a:lnTo>
              <a:close/>
            </a:path>
            <a:path w="411480" h="408940">
              <a:moveTo>
                <a:pt x="198158" y="151622"/>
              </a:moveTo>
              <a:lnTo>
                <a:pt x="183456" y="151622"/>
              </a:lnTo>
              <a:lnTo>
                <a:pt x="206061" y="197008"/>
              </a:lnTo>
              <a:lnTo>
                <a:pt x="229529" y="227905"/>
              </a:lnTo>
              <a:lnTo>
                <a:pt x="251428" y="247571"/>
              </a:lnTo>
              <a:lnTo>
                <a:pt x="269320" y="259266"/>
              </a:lnTo>
              <a:lnTo>
                <a:pt x="231417" y="266805"/>
              </a:lnTo>
              <a:lnTo>
                <a:pt x="192461" y="276648"/>
              </a:lnTo>
              <a:lnTo>
                <a:pt x="152932" y="289069"/>
              </a:lnTo>
              <a:lnTo>
                <a:pt x="114346" y="304082"/>
              </a:lnTo>
              <a:lnTo>
                <a:pt x="118460" y="304082"/>
              </a:lnTo>
              <a:lnTo>
                <a:pt x="153587" y="293356"/>
              </a:lnTo>
              <a:lnTo>
                <a:pt x="196440" y="283297"/>
              </a:lnTo>
              <a:lnTo>
                <a:pt x="240865" y="275359"/>
              </a:lnTo>
              <a:lnTo>
                <a:pt x="284818" y="269737"/>
              </a:lnTo>
              <a:lnTo>
                <a:pt x="316269" y="269737"/>
              </a:lnTo>
              <a:lnTo>
                <a:pt x="309530" y="266805"/>
              </a:lnTo>
              <a:lnTo>
                <a:pt x="337940" y="265503"/>
              </a:lnTo>
              <a:lnTo>
                <a:pt x="402767" y="265503"/>
              </a:lnTo>
              <a:lnTo>
                <a:pt x="391886" y="259632"/>
              </a:lnTo>
              <a:lnTo>
                <a:pt x="376264" y="256334"/>
              </a:lnTo>
              <a:lnTo>
                <a:pt x="291100" y="256334"/>
              </a:lnTo>
              <a:lnTo>
                <a:pt x="281382" y="250771"/>
              </a:lnTo>
              <a:lnTo>
                <a:pt x="232605" y="210909"/>
              </a:lnTo>
              <a:lnTo>
                <a:pt x="200275" y="157178"/>
              </a:lnTo>
              <a:lnTo>
                <a:pt x="198158" y="151622"/>
              </a:lnTo>
              <a:close/>
            </a:path>
            <a:path w="411480" h="408940">
              <a:moveTo>
                <a:pt x="316269" y="269737"/>
              </a:moveTo>
              <a:lnTo>
                <a:pt x="284818" y="269737"/>
              </a:lnTo>
              <a:lnTo>
                <a:pt x="312305" y="282158"/>
              </a:lnTo>
              <a:lnTo>
                <a:pt x="339478" y="291517"/>
              </a:lnTo>
              <a:lnTo>
                <a:pt x="364452" y="297420"/>
              </a:lnTo>
              <a:lnTo>
                <a:pt x="385342" y="299475"/>
              </a:lnTo>
              <a:lnTo>
                <a:pt x="398326" y="299475"/>
              </a:lnTo>
              <a:lnTo>
                <a:pt x="405447" y="296543"/>
              </a:lnTo>
              <a:lnTo>
                <a:pt x="406389" y="292773"/>
              </a:lnTo>
              <a:lnTo>
                <a:pt x="394138" y="292773"/>
              </a:lnTo>
              <a:lnTo>
                <a:pt x="377560" y="290895"/>
              </a:lnTo>
              <a:lnTo>
                <a:pt x="357017" y="285601"/>
              </a:lnTo>
              <a:lnTo>
                <a:pt x="333882" y="277400"/>
              </a:lnTo>
              <a:lnTo>
                <a:pt x="316269" y="269737"/>
              </a:lnTo>
              <a:close/>
            </a:path>
            <a:path w="411480" h="408940">
              <a:moveTo>
                <a:pt x="407122" y="289842"/>
              </a:moveTo>
              <a:lnTo>
                <a:pt x="404190" y="291098"/>
              </a:lnTo>
              <a:lnTo>
                <a:pt x="399583" y="292773"/>
              </a:lnTo>
              <a:lnTo>
                <a:pt x="406389" y="292773"/>
              </a:lnTo>
              <a:lnTo>
                <a:pt x="407122" y="289842"/>
              </a:lnTo>
              <a:close/>
            </a:path>
            <a:path w="411480" h="408940">
              <a:moveTo>
                <a:pt x="402767" y="265503"/>
              </a:moveTo>
              <a:lnTo>
                <a:pt x="337940" y="265503"/>
              </a:lnTo>
              <a:lnTo>
                <a:pt x="370944" y="266438"/>
              </a:lnTo>
              <a:lnTo>
                <a:pt x="398058" y="272165"/>
              </a:lnTo>
              <a:lnTo>
                <a:pt x="408797" y="285234"/>
              </a:lnTo>
              <a:lnTo>
                <a:pt x="410054" y="282302"/>
              </a:lnTo>
              <a:lnTo>
                <a:pt x="411322" y="281046"/>
              </a:lnTo>
              <a:lnTo>
                <a:pt x="411322" y="278114"/>
              </a:lnTo>
              <a:lnTo>
                <a:pt x="406212" y="267361"/>
              </a:lnTo>
              <a:lnTo>
                <a:pt x="402767" y="265503"/>
              </a:lnTo>
              <a:close/>
            </a:path>
            <a:path w="411480" h="408940">
              <a:moveTo>
                <a:pt x="341363" y="253402"/>
              </a:moveTo>
              <a:lnTo>
                <a:pt x="330152" y="253683"/>
              </a:lnTo>
              <a:lnTo>
                <a:pt x="317959" y="254397"/>
              </a:lnTo>
              <a:lnTo>
                <a:pt x="291100" y="256334"/>
              </a:lnTo>
              <a:lnTo>
                <a:pt x="376264" y="256334"/>
              </a:lnTo>
              <a:lnTo>
                <a:pt x="369785" y="254966"/>
              </a:lnTo>
              <a:lnTo>
                <a:pt x="341363" y="253402"/>
              </a:lnTo>
              <a:close/>
            </a:path>
            <a:path w="411480" h="408940">
              <a:moveTo>
                <a:pt x="196021" y="34345"/>
              </a:moveTo>
              <a:lnTo>
                <a:pt x="193764" y="46714"/>
              </a:lnTo>
              <a:lnTo>
                <a:pt x="191264" y="61936"/>
              </a:lnTo>
              <a:lnTo>
                <a:pt x="187834" y="82290"/>
              </a:lnTo>
              <a:lnTo>
                <a:pt x="183514" y="105654"/>
              </a:lnTo>
              <a:lnTo>
                <a:pt x="183456" y="105968"/>
              </a:lnTo>
              <a:lnTo>
                <a:pt x="191927" y="105968"/>
              </a:lnTo>
              <a:lnTo>
                <a:pt x="192311" y="103258"/>
              </a:lnTo>
              <a:lnTo>
                <a:pt x="194189" y="80209"/>
              </a:lnTo>
              <a:lnTo>
                <a:pt x="195203" y="57473"/>
              </a:lnTo>
              <a:lnTo>
                <a:pt x="196021" y="34345"/>
              </a:lnTo>
              <a:close/>
            </a:path>
            <a:path w="411480" h="408940">
              <a:moveTo>
                <a:pt x="191983" y="2513"/>
              </a:moveTo>
              <a:lnTo>
                <a:pt x="181781" y="2513"/>
              </a:lnTo>
              <a:lnTo>
                <a:pt x="186303" y="5366"/>
              </a:lnTo>
              <a:lnTo>
                <a:pt x="190665" y="10019"/>
              </a:lnTo>
              <a:lnTo>
                <a:pt x="194091" y="16884"/>
              </a:lnTo>
              <a:lnTo>
                <a:pt x="196021" y="26806"/>
              </a:lnTo>
              <a:lnTo>
                <a:pt x="197592" y="11308"/>
              </a:lnTo>
              <a:lnTo>
                <a:pt x="194137" y="3350"/>
              </a:lnTo>
              <a:lnTo>
                <a:pt x="191983" y="2513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  <xdr:oneCellAnchor>
    <xdr:from>
      <xdr:col>20</xdr:col>
      <xdr:colOff>0</xdr:colOff>
      <xdr:row>0</xdr:row>
      <xdr:rowOff>0</xdr:rowOff>
    </xdr:from>
    <xdr:ext cx="420370" cy="417195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1AE99EEF-E73F-4D81-AD28-555695E47E0D}"/>
            </a:ext>
          </a:extLst>
        </xdr:cNvPr>
        <xdr:cNvSpPr/>
      </xdr:nvSpPr>
      <xdr:spPr>
        <a:xfrm>
          <a:off x="11506200" y="0"/>
          <a:ext cx="420370" cy="417195"/>
        </a:xfrm>
        <a:custGeom>
          <a:avLst/>
          <a:gdLst/>
          <a:ahLst/>
          <a:cxnLst/>
          <a:rect l="0" t="0" r="0" b="0"/>
          <a:pathLst>
            <a:path w="420370" h="417195">
              <a:moveTo>
                <a:pt x="75714" y="328945"/>
              </a:moveTo>
              <a:lnTo>
                <a:pt x="39160" y="352712"/>
              </a:lnTo>
              <a:lnTo>
                <a:pt x="15880" y="375677"/>
              </a:lnTo>
              <a:lnTo>
                <a:pt x="3589" y="395595"/>
              </a:lnTo>
              <a:lnTo>
                <a:pt x="0" y="410219"/>
              </a:lnTo>
              <a:lnTo>
                <a:pt x="0" y="417064"/>
              </a:lnTo>
              <a:lnTo>
                <a:pt x="32080" y="417064"/>
              </a:lnTo>
              <a:lnTo>
                <a:pt x="34572" y="416207"/>
              </a:lnTo>
              <a:lnTo>
                <a:pt x="8127" y="416207"/>
              </a:lnTo>
              <a:lnTo>
                <a:pt x="11830" y="400648"/>
              </a:lnTo>
              <a:lnTo>
                <a:pt x="25558" y="378672"/>
              </a:lnTo>
              <a:lnTo>
                <a:pt x="47468" y="353648"/>
              </a:lnTo>
              <a:lnTo>
                <a:pt x="75714" y="328945"/>
              </a:lnTo>
              <a:close/>
            </a:path>
            <a:path w="420370" h="417195">
              <a:moveTo>
                <a:pt x="179661" y="0"/>
              </a:moveTo>
              <a:lnTo>
                <a:pt x="165219" y="38925"/>
              </a:lnTo>
              <a:lnTo>
                <a:pt x="165117" y="43631"/>
              </a:lnTo>
              <a:lnTo>
                <a:pt x="165424" y="53061"/>
              </a:lnTo>
              <a:lnTo>
                <a:pt x="171480" y="96312"/>
              </a:lnTo>
              <a:lnTo>
                <a:pt x="179661" y="131321"/>
              </a:lnTo>
              <a:lnTo>
                <a:pt x="173324" y="154510"/>
              </a:lnTo>
              <a:lnTo>
                <a:pt x="156205" y="198089"/>
              </a:lnTo>
              <a:lnTo>
                <a:pt x="131139" y="253325"/>
              </a:lnTo>
              <a:lnTo>
                <a:pt x="100962" y="311488"/>
              </a:lnTo>
              <a:lnTo>
                <a:pt x="68510" y="363844"/>
              </a:lnTo>
              <a:lnTo>
                <a:pt x="36620" y="401661"/>
              </a:lnTo>
              <a:lnTo>
                <a:pt x="8127" y="416207"/>
              </a:lnTo>
              <a:lnTo>
                <a:pt x="34572" y="416207"/>
              </a:lnTo>
              <a:lnTo>
                <a:pt x="35992" y="415719"/>
              </a:lnTo>
              <a:lnTo>
                <a:pt x="58122" y="396477"/>
              </a:lnTo>
              <a:lnTo>
                <a:pt x="84984" y="362397"/>
              </a:lnTo>
              <a:lnTo>
                <a:pt x="116779" y="311835"/>
              </a:lnTo>
              <a:lnTo>
                <a:pt x="120982" y="310551"/>
              </a:lnTo>
              <a:lnTo>
                <a:pt x="116779" y="310551"/>
              </a:lnTo>
              <a:lnTo>
                <a:pt x="147117" y="255003"/>
              </a:lnTo>
              <a:lnTo>
                <a:pt x="167309" y="212328"/>
              </a:lnTo>
              <a:lnTo>
                <a:pt x="179881" y="179838"/>
              </a:lnTo>
              <a:lnTo>
                <a:pt x="187360" y="154848"/>
              </a:lnTo>
              <a:lnTo>
                <a:pt x="202375" y="154848"/>
              </a:lnTo>
              <a:lnTo>
                <a:pt x="192921" y="130038"/>
              </a:lnTo>
              <a:lnTo>
                <a:pt x="196012" y="108222"/>
              </a:lnTo>
              <a:lnTo>
                <a:pt x="187360" y="108222"/>
              </a:lnTo>
              <a:lnTo>
                <a:pt x="182441" y="89454"/>
              </a:lnTo>
              <a:lnTo>
                <a:pt x="179126" y="71328"/>
              </a:lnTo>
              <a:lnTo>
                <a:pt x="177254" y="54325"/>
              </a:lnTo>
              <a:lnTo>
                <a:pt x="176666" y="38925"/>
              </a:lnTo>
              <a:lnTo>
                <a:pt x="176791" y="33204"/>
              </a:lnTo>
              <a:lnTo>
                <a:pt x="176807" y="32462"/>
              </a:lnTo>
              <a:lnTo>
                <a:pt x="177789" y="21548"/>
              </a:lnTo>
              <a:lnTo>
                <a:pt x="180456" y="10232"/>
              </a:lnTo>
              <a:lnTo>
                <a:pt x="185649" y="2566"/>
              </a:lnTo>
              <a:lnTo>
                <a:pt x="196068" y="2566"/>
              </a:lnTo>
              <a:lnTo>
                <a:pt x="190569" y="427"/>
              </a:lnTo>
              <a:lnTo>
                <a:pt x="179661" y="0"/>
              </a:lnTo>
              <a:close/>
            </a:path>
            <a:path w="420370" h="417195">
              <a:moveTo>
                <a:pt x="415787" y="309696"/>
              </a:moveTo>
              <a:lnTo>
                <a:pt x="403809" y="309696"/>
              </a:lnTo>
              <a:lnTo>
                <a:pt x="399104" y="313973"/>
              </a:lnTo>
              <a:lnTo>
                <a:pt x="399104" y="325523"/>
              </a:lnTo>
              <a:lnTo>
                <a:pt x="403809" y="329800"/>
              </a:lnTo>
              <a:lnTo>
                <a:pt x="415787" y="329800"/>
              </a:lnTo>
              <a:lnTo>
                <a:pt x="417926" y="327662"/>
              </a:lnTo>
              <a:lnTo>
                <a:pt x="405093" y="327662"/>
              </a:lnTo>
              <a:lnTo>
                <a:pt x="401243" y="324240"/>
              </a:lnTo>
              <a:lnTo>
                <a:pt x="401243" y="315257"/>
              </a:lnTo>
              <a:lnTo>
                <a:pt x="405093" y="311835"/>
              </a:lnTo>
              <a:lnTo>
                <a:pt x="417926" y="311835"/>
              </a:lnTo>
              <a:lnTo>
                <a:pt x="415787" y="309696"/>
              </a:lnTo>
              <a:close/>
            </a:path>
            <a:path w="420370" h="417195">
              <a:moveTo>
                <a:pt x="417926" y="311835"/>
              </a:moveTo>
              <a:lnTo>
                <a:pt x="414503" y="311835"/>
              </a:lnTo>
              <a:lnTo>
                <a:pt x="417498" y="315257"/>
              </a:lnTo>
              <a:lnTo>
                <a:pt x="417498" y="324240"/>
              </a:lnTo>
              <a:lnTo>
                <a:pt x="414503" y="327662"/>
              </a:lnTo>
              <a:lnTo>
                <a:pt x="417926" y="327662"/>
              </a:lnTo>
              <a:lnTo>
                <a:pt x="420064" y="325523"/>
              </a:lnTo>
              <a:lnTo>
                <a:pt x="420064" y="313973"/>
              </a:lnTo>
              <a:lnTo>
                <a:pt x="417926" y="311835"/>
              </a:lnTo>
              <a:close/>
            </a:path>
            <a:path w="420370" h="417195">
              <a:moveTo>
                <a:pt x="412365" y="313118"/>
              </a:moveTo>
              <a:lnTo>
                <a:pt x="405520" y="313118"/>
              </a:lnTo>
              <a:lnTo>
                <a:pt x="405520" y="325523"/>
              </a:lnTo>
              <a:lnTo>
                <a:pt x="407659" y="325523"/>
              </a:lnTo>
              <a:lnTo>
                <a:pt x="407659" y="320817"/>
              </a:lnTo>
              <a:lnTo>
                <a:pt x="413078" y="320817"/>
              </a:lnTo>
              <a:lnTo>
                <a:pt x="412792" y="320390"/>
              </a:lnTo>
              <a:lnTo>
                <a:pt x="411509" y="319962"/>
              </a:lnTo>
              <a:lnTo>
                <a:pt x="414076" y="319106"/>
              </a:lnTo>
              <a:lnTo>
                <a:pt x="407659" y="319106"/>
              </a:lnTo>
              <a:lnTo>
                <a:pt x="407659" y="315684"/>
              </a:lnTo>
              <a:lnTo>
                <a:pt x="413790" y="315684"/>
              </a:lnTo>
              <a:lnTo>
                <a:pt x="413719" y="315257"/>
              </a:lnTo>
              <a:lnTo>
                <a:pt x="413648" y="314829"/>
              </a:lnTo>
              <a:lnTo>
                <a:pt x="412365" y="313118"/>
              </a:lnTo>
              <a:close/>
            </a:path>
            <a:path w="420370" h="417195">
              <a:moveTo>
                <a:pt x="413078" y="320817"/>
              </a:moveTo>
              <a:lnTo>
                <a:pt x="410226" y="320817"/>
              </a:lnTo>
              <a:lnTo>
                <a:pt x="411081" y="322101"/>
              </a:lnTo>
              <a:lnTo>
                <a:pt x="411509" y="323384"/>
              </a:lnTo>
              <a:lnTo>
                <a:pt x="411937" y="325523"/>
              </a:lnTo>
              <a:lnTo>
                <a:pt x="414076" y="325523"/>
              </a:lnTo>
              <a:lnTo>
                <a:pt x="413648" y="323384"/>
              </a:lnTo>
              <a:lnTo>
                <a:pt x="413648" y="321673"/>
              </a:lnTo>
              <a:lnTo>
                <a:pt x="413078" y="320817"/>
              </a:lnTo>
              <a:close/>
            </a:path>
            <a:path w="420370" h="417195">
              <a:moveTo>
                <a:pt x="413790" y="315684"/>
              </a:moveTo>
              <a:lnTo>
                <a:pt x="410654" y="315684"/>
              </a:lnTo>
              <a:lnTo>
                <a:pt x="411509" y="316112"/>
              </a:lnTo>
              <a:lnTo>
                <a:pt x="411509" y="318679"/>
              </a:lnTo>
              <a:lnTo>
                <a:pt x="410226" y="319106"/>
              </a:lnTo>
              <a:lnTo>
                <a:pt x="414076" y="319106"/>
              </a:lnTo>
              <a:lnTo>
                <a:pt x="414076" y="317395"/>
              </a:lnTo>
              <a:lnTo>
                <a:pt x="413862" y="316112"/>
              </a:lnTo>
              <a:lnTo>
                <a:pt x="413790" y="315684"/>
              </a:lnTo>
              <a:close/>
            </a:path>
            <a:path w="420370" h="417195">
              <a:moveTo>
                <a:pt x="202375" y="154848"/>
              </a:moveTo>
              <a:lnTo>
                <a:pt x="187360" y="154848"/>
              </a:lnTo>
              <a:lnTo>
                <a:pt x="210446" y="201199"/>
              </a:lnTo>
              <a:lnTo>
                <a:pt x="234415" y="232753"/>
              </a:lnTo>
              <a:lnTo>
                <a:pt x="256779" y="252837"/>
              </a:lnTo>
              <a:lnTo>
                <a:pt x="275052" y="264781"/>
              </a:lnTo>
              <a:lnTo>
                <a:pt x="236342" y="272481"/>
              </a:lnTo>
              <a:lnTo>
                <a:pt x="196557" y="282533"/>
              </a:lnTo>
              <a:lnTo>
                <a:pt x="156187" y="295219"/>
              </a:lnTo>
              <a:lnTo>
                <a:pt x="116779" y="310551"/>
              </a:lnTo>
              <a:lnTo>
                <a:pt x="120982" y="310551"/>
              </a:lnTo>
              <a:lnTo>
                <a:pt x="156855" y="299597"/>
              </a:lnTo>
              <a:lnTo>
                <a:pt x="200621" y="289324"/>
              </a:lnTo>
              <a:lnTo>
                <a:pt x="245991" y="281217"/>
              </a:lnTo>
              <a:lnTo>
                <a:pt x="290879" y="275475"/>
              </a:lnTo>
              <a:lnTo>
                <a:pt x="323000" y="275475"/>
              </a:lnTo>
              <a:lnTo>
                <a:pt x="316118" y="272481"/>
              </a:lnTo>
              <a:lnTo>
                <a:pt x="345132" y="271151"/>
              </a:lnTo>
              <a:lnTo>
                <a:pt x="411339" y="271151"/>
              </a:lnTo>
              <a:lnTo>
                <a:pt x="400227" y="265156"/>
              </a:lnTo>
              <a:lnTo>
                <a:pt x="384272" y="261787"/>
              </a:lnTo>
              <a:lnTo>
                <a:pt x="297296" y="261787"/>
              </a:lnTo>
              <a:lnTo>
                <a:pt x="287370" y="256106"/>
              </a:lnTo>
              <a:lnTo>
                <a:pt x="237556" y="215395"/>
              </a:lnTo>
              <a:lnTo>
                <a:pt x="204538" y="160522"/>
              </a:lnTo>
              <a:lnTo>
                <a:pt x="202375" y="154848"/>
              </a:lnTo>
              <a:close/>
            </a:path>
            <a:path w="420370" h="417195">
              <a:moveTo>
                <a:pt x="323000" y="275475"/>
              </a:moveTo>
              <a:lnTo>
                <a:pt x="290879" y="275475"/>
              </a:lnTo>
              <a:lnTo>
                <a:pt x="318951" y="288161"/>
              </a:lnTo>
              <a:lnTo>
                <a:pt x="346703" y="297719"/>
              </a:lnTo>
              <a:lnTo>
                <a:pt x="372208" y="303747"/>
              </a:lnTo>
              <a:lnTo>
                <a:pt x="393543" y="305846"/>
              </a:lnTo>
              <a:lnTo>
                <a:pt x="406804" y="305846"/>
              </a:lnTo>
              <a:lnTo>
                <a:pt x="414076" y="302852"/>
              </a:lnTo>
              <a:lnTo>
                <a:pt x="415038" y="299002"/>
              </a:lnTo>
              <a:lnTo>
                <a:pt x="402526" y="299002"/>
              </a:lnTo>
              <a:lnTo>
                <a:pt x="385596" y="297084"/>
              </a:lnTo>
              <a:lnTo>
                <a:pt x="364615" y="291677"/>
              </a:lnTo>
              <a:lnTo>
                <a:pt x="340988" y="283302"/>
              </a:lnTo>
              <a:lnTo>
                <a:pt x="323000" y="275475"/>
              </a:lnTo>
              <a:close/>
            </a:path>
            <a:path w="420370" h="417195">
              <a:moveTo>
                <a:pt x="415787" y="296008"/>
              </a:moveTo>
              <a:lnTo>
                <a:pt x="412792" y="297291"/>
              </a:lnTo>
              <a:lnTo>
                <a:pt x="408087" y="299002"/>
              </a:lnTo>
              <a:lnTo>
                <a:pt x="415038" y="299002"/>
              </a:lnTo>
              <a:lnTo>
                <a:pt x="415787" y="296008"/>
              </a:lnTo>
              <a:close/>
            </a:path>
            <a:path w="420370" h="417195">
              <a:moveTo>
                <a:pt x="411339" y="271151"/>
              </a:moveTo>
              <a:lnTo>
                <a:pt x="345132" y="271151"/>
              </a:lnTo>
              <a:lnTo>
                <a:pt x="378839" y="272107"/>
              </a:lnTo>
              <a:lnTo>
                <a:pt x="406530" y="277955"/>
              </a:lnTo>
              <a:lnTo>
                <a:pt x="417498" y="291302"/>
              </a:lnTo>
              <a:lnTo>
                <a:pt x="418781" y="288308"/>
              </a:lnTo>
              <a:lnTo>
                <a:pt x="420064" y="287025"/>
              </a:lnTo>
              <a:lnTo>
                <a:pt x="420064" y="284030"/>
              </a:lnTo>
              <a:lnTo>
                <a:pt x="414858" y="273049"/>
              </a:lnTo>
              <a:lnTo>
                <a:pt x="411339" y="271151"/>
              </a:lnTo>
              <a:close/>
            </a:path>
            <a:path w="420370" h="417195">
              <a:moveTo>
                <a:pt x="348628" y="258793"/>
              </a:moveTo>
              <a:lnTo>
                <a:pt x="337178" y="259080"/>
              </a:lnTo>
              <a:lnTo>
                <a:pt x="324726" y="259809"/>
              </a:lnTo>
              <a:lnTo>
                <a:pt x="297296" y="261787"/>
              </a:lnTo>
              <a:lnTo>
                <a:pt x="384272" y="261787"/>
              </a:lnTo>
              <a:lnTo>
                <a:pt x="377655" y="260390"/>
              </a:lnTo>
              <a:lnTo>
                <a:pt x="348628" y="258793"/>
              </a:lnTo>
              <a:close/>
            </a:path>
            <a:path w="420370" h="417195">
              <a:moveTo>
                <a:pt x="200193" y="35076"/>
              </a:moveTo>
              <a:lnTo>
                <a:pt x="197887" y="47708"/>
              </a:lnTo>
              <a:lnTo>
                <a:pt x="195335" y="63254"/>
              </a:lnTo>
              <a:lnTo>
                <a:pt x="191832" y="84040"/>
              </a:lnTo>
              <a:lnTo>
                <a:pt x="187420" y="107901"/>
              </a:lnTo>
              <a:lnTo>
                <a:pt x="187360" y="108222"/>
              </a:lnTo>
              <a:lnTo>
                <a:pt x="196012" y="108222"/>
              </a:lnTo>
              <a:lnTo>
                <a:pt x="196404" y="105455"/>
              </a:lnTo>
              <a:lnTo>
                <a:pt x="198322" y="81915"/>
              </a:lnTo>
              <a:lnTo>
                <a:pt x="199358" y="58696"/>
              </a:lnTo>
              <a:lnTo>
                <a:pt x="200193" y="35076"/>
              </a:lnTo>
              <a:close/>
            </a:path>
            <a:path w="420370" h="417195">
              <a:moveTo>
                <a:pt x="196068" y="2566"/>
              </a:moveTo>
              <a:lnTo>
                <a:pt x="185649" y="2566"/>
              </a:lnTo>
              <a:lnTo>
                <a:pt x="190268" y="5480"/>
              </a:lnTo>
              <a:lnTo>
                <a:pt x="194723" y="10232"/>
              </a:lnTo>
              <a:lnTo>
                <a:pt x="198222" y="17243"/>
              </a:lnTo>
              <a:lnTo>
                <a:pt x="200193" y="27376"/>
              </a:lnTo>
              <a:lnTo>
                <a:pt x="201797" y="11549"/>
              </a:lnTo>
              <a:lnTo>
                <a:pt x="198268" y="3422"/>
              </a:lnTo>
              <a:lnTo>
                <a:pt x="196068" y="2566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  <xdr:oneCellAnchor>
    <xdr:from>
      <xdr:col>21</xdr:col>
      <xdr:colOff>332587</xdr:colOff>
      <xdr:row>0</xdr:row>
      <xdr:rowOff>0</xdr:rowOff>
    </xdr:from>
    <xdr:ext cx="403860" cy="40132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BDC55B0F-6792-4E50-AEB1-1FBF4F4CD8B1}"/>
            </a:ext>
          </a:extLst>
        </xdr:cNvPr>
        <xdr:cNvSpPr/>
      </xdr:nvSpPr>
      <xdr:spPr>
        <a:xfrm>
          <a:off x="12372187" y="0"/>
          <a:ext cx="403860" cy="401320"/>
        </a:xfrm>
        <a:custGeom>
          <a:avLst/>
          <a:gdLst/>
          <a:ahLst/>
          <a:cxnLst/>
          <a:rect l="0" t="0" r="0" b="0"/>
          <a:pathLst>
            <a:path w="403860" h="401320">
              <a:moveTo>
                <a:pt x="72743" y="316046"/>
              </a:moveTo>
              <a:lnTo>
                <a:pt x="37624" y="338881"/>
              </a:lnTo>
              <a:lnTo>
                <a:pt x="15257" y="360946"/>
              </a:lnTo>
              <a:lnTo>
                <a:pt x="3448" y="380083"/>
              </a:lnTo>
              <a:lnTo>
                <a:pt x="0" y="394133"/>
              </a:lnTo>
              <a:lnTo>
                <a:pt x="0" y="400707"/>
              </a:lnTo>
              <a:lnTo>
                <a:pt x="30829" y="400707"/>
              </a:lnTo>
              <a:lnTo>
                <a:pt x="33216" y="399887"/>
              </a:lnTo>
              <a:lnTo>
                <a:pt x="7808" y="399887"/>
              </a:lnTo>
              <a:lnTo>
                <a:pt x="11366" y="384937"/>
              </a:lnTo>
              <a:lnTo>
                <a:pt x="24556" y="363823"/>
              </a:lnTo>
              <a:lnTo>
                <a:pt x="45606" y="339780"/>
              </a:lnTo>
              <a:lnTo>
                <a:pt x="72743" y="316046"/>
              </a:lnTo>
              <a:close/>
            </a:path>
            <a:path w="403860" h="401320">
              <a:moveTo>
                <a:pt x="172612" y="0"/>
              </a:moveTo>
              <a:lnTo>
                <a:pt x="164534" y="5394"/>
              </a:lnTo>
              <a:lnTo>
                <a:pt x="160385" y="17877"/>
              </a:lnTo>
              <a:lnTo>
                <a:pt x="158935" y="31189"/>
              </a:lnTo>
              <a:lnTo>
                <a:pt x="158857" y="31902"/>
              </a:lnTo>
              <a:lnTo>
                <a:pt x="158737" y="37399"/>
              </a:lnTo>
              <a:lnTo>
                <a:pt x="158639" y="41920"/>
              </a:lnTo>
              <a:lnTo>
                <a:pt x="158934" y="50981"/>
              </a:lnTo>
              <a:lnTo>
                <a:pt x="164752" y="92535"/>
              </a:lnTo>
              <a:lnTo>
                <a:pt x="172612" y="126172"/>
              </a:lnTo>
              <a:lnTo>
                <a:pt x="166524" y="148451"/>
              </a:lnTo>
              <a:lnTo>
                <a:pt x="150076" y="190321"/>
              </a:lnTo>
              <a:lnTo>
                <a:pt x="125994" y="243392"/>
              </a:lnTo>
              <a:lnTo>
                <a:pt x="97001" y="299274"/>
              </a:lnTo>
              <a:lnTo>
                <a:pt x="65823" y="349577"/>
              </a:lnTo>
              <a:lnTo>
                <a:pt x="35183" y="385911"/>
              </a:lnTo>
              <a:lnTo>
                <a:pt x="7808" y="399887"/>
              </a:lnTo>
              <a:lnTo>
                <a:pt x="33216" y="399887"/>
              </a:lnTo>
              <a:lnTo>
                <a:pt x="34580" y="399418"/>
              </a:lnTo>
              <a:lnTo>
                <a:pt x="55842" y="380930"/>
              </a:lnTo>
              <a:lnTo>
                <a:pt x="81650" y="348186"/>
              </a:lnTo>
              <a:lnTo>
                <a:pt x="112198" y="299607"/>
              </a:lnTo>
              <a:lnTo>
                <a:pt x="116235" y="298374"/>
              </a:lnTo>
              <a:lnTo>
                <a:pt x="112198" y="298374"/>
              </a:lnTo>
              <a:lnTo>
                <a:pt x="141345" y="245004"/>
              </a:lnTo>
              <a:lnTo>
                <a:pt x="160745" y="204002"/>
              </a:lnTo>
              <a:lnTo>
                <a:pt x="172824" y="172786"/>
              </a:lnTo>
              <a:lnTo>
                <a:pt x="180010" y="148776"/>
              </a:lnTo>
              <a:lnTo>
                <a:pt x="194436" y="148776"/>
              </a:lnTo>
              <a:lnTo>
                <a:pt x="185353" y="124939"/>
              </a:lnTo>
              <a:lnTo>
                <a:pt x="188322" y="103978"/>
              </a:lnTo>
              <a:lnTo>
                <a:pt x="180010" y="103978"/>
              </a:lnTo>
              <a:lnTo>
                <a:pt x="175284" y="85947"/>
              </a:lnTo>
              <a:lnTo>
                <a:pt x="172098" y="68531"/>
              </a:lnTo>
              <a:lnTo>
                <a:pt x="170300" y="52194"/>
              </a:lnTo>
              <a:lnTo>
                <a:pt x="169735" y="37399"/>
              </a:lnTo>
              <a:lnTo>
                <a:pt x="169855" y="31902"/>
              </a:lnTo>
              <a:lnTo>
                <a:pt x="169870" y="31189"/>
              </a:lnTo>
              <a:lnTo>
                <a:pt x="170814" y="20703"/>
              </a:lnTo>
              <a:lnTo>
                <a:pt x="173376" y="9831"/>
              </a:lnTo>
              <a:lnTo>
                <a:pt x="178366" y="2465"/>
              </a:lnTo>
              <a:lnTo>
                <a:pt x="188376" y="2465"/>
              </a:lnTo>
              <a:lnTo>
                <a:pt x="183092" y="410"/>
              </a:lnTo>
              <a:lnTo>
                <a:pt x="172612" y="0"/>
              </a:lnTo>
              <a:close/>
            </a:path>
            <a:path w="403860" h="401320">
              <a:moveTo>
                <a:pt x="399475" y="297552"/>
              </a:moveTo>
              <a:lnTo>
                <a:pt x="387967" y="297552"/>
              </a:lnTo>
              <a:lnTo>
                <a:pt x="383446" y="301662"/>
              </a:lnTo>
              <a:lnTo>
                <a:pt x="383446" y="312758"/>
              </a:lnTo>
              <a:lnTo>
                <a:pt x="387967" y="316868"/>
              </a:lnTo>
              <a:lnTo>
                <a:pt x="399475" y="316868"/>
              </a:lnTo>
              <a:lnTo>
                <a:pt x="401530" y="314813"/>
              </a:lnTo>
              <a:lnTo>
                <a:pt x="389200" y="314813"/>
              </a:lnTo>
              <a:lnTo>
                <a:pt x="385501" y="311525"/>
              </a:lnTo>
              <a:lnTo>
                <a:pt x="385501" y="302895"/>
              </a:lnTo>
              <a:lnTo>
                <a:pt x="389200" y="299607"/>
              </a:lnTo>
              <a:lnTo>
                <a:pt x="401530" y="299607"/>
              </a:lnTo>
              <a:lnTo>
                <a:pt x="399475" y="297552"/>
              </a:lnTo>
              <a:close/>
            </a:path>
            <a:path w="403860" h="401320">
              <a:moveTo>
                <a:pt x="401530" y="299607"/>
              </a:moveTo>
              <a:lnTo>
                <a:pt x="398242" y="299607"/>
              </a:lnTo>
              <a:lnTo>
                <a:pt x="401119" y="302895"/>
              </a:lnTo>
              <a:lnTo>
                <a:pt x="401119" y="311525"/>
              </a:lnTo>
              <a:lnTo>
                <a:pt x="398242" y="314813"/>
              </a:lnTo>
              <a:lnTo>
                <a:pt x="401530" y="314813"/>
              </a:lnTo>
              <a:lnTo>
                <a:pt x="403584" y="312758"/>
              </a:lnTo>
              <a:lnTo>
                <a:pt x="403584" y="301662"/>
              </a:lnTo>
              <a:lnTo>
                <a:pt x="401530" y="299607"/>
              </a:lnTo>
              <a:close/>
            </a:path>
            <a:path w="403860" h="401320">
              <a:moveTo>
                <a:pt x="396187" y="300840"/>
              </a:moveTo>
              <a:lnTo>
                <a:pt x="389611" y="300840"/>
              </a:lnTo>
              <a:lnTo>
                <a:pt x="389611" y="312758"/>
              </a:lnTo>
              <a:lnTo>
                <a:pt x="391666" y="312758"/>
              </a:lnTo>
              <a:lnTo>
                <a:pt x="391666" y="308237"/>
              </a:lnTo>
              <a:lnTo>
                <a:pt x="396872" y="308237"/>
              </a:lnTo>
              <a:lnTo>
                <a:pt x="396598" y="307826"/>
              </a:lnTo>
              <a:lnTo>
                <a:pt x="395365" y="307415"/>
              </a:lnTo>
              <a:lnTo>
                <a:pt x="397831" y="306594"/>
              </a:lnTo>
              <a:lnTo>
                <a:pt x="391666" y="306594"/>
              </a:lnTo>
              <a:lnTo>
                <a:pt x="391666" y="303306"/>
              </a:lnTo>
              <a:lnTo>
                <a:pt x="397557" y="303306"/>
              </a:lnTo>
              <a:lnTo>
                <a:pt x="397488" y="302895"/>
              </a:lnTo>
              <a:lnTo>
                <a:pt x="397420" y="302484"/>
              </a:lnTo>
              <a:lnTo>
                <a:pt x="396187" y="300840"/>
              </a:lnTo>
              <a:close/>
            </a:path>
            <a:path w="403860" h="401320">
              <a:moveTo>
                <a:pt x="396872" y="308237"/>
              </a:moveTo>
              <a:lnTo>
                <a:pt x="394132" y="308237"/>
              </a:lnTo>
              <a:lnTo>
                <a:pt x="394954" y="309470"/>
              </a:lnTo>
              <a:lnTo>
                <a:pt x="395365" y="310703"/>
              </a:lnTo>
              <a:lnTo>
                <a:pt x="395776" y="312758"/>
              </a:lnTo>
              <a:lnTo>
                <a:pt x="397831" y="312758"/>
              </a:lnTo>
              <a:lnTo>
                <a:pt x="397420" y="310703"/>
              </a:lnTo>
              <a:lnTo>
                <a:pt x="397420" y="309059"/>
              </a:lnTo>
              <a:lnTo>
                <a:pt x="396872" y="308237"/>
              </a:lnTo>
              <a:close/>
            </a:path>
            <a:path w="403860" h="401320">
              <a:moveTo>
                <a:pt x="397557" y="303306"/>
              </a:moveTo>
              <a:lnTo>
                <a:pt x="394543" y="303306"/>
              </a:lnTo>
              <a:lnTo>
                <a:pt x="395365" y="303717"/>
              </a:lnTo>
              <a:lnTo>
                <a:pt x="395365" y="306183"/>
              </a:lnTo>
              <a:lnTo>
                <a:pt x="394132" y="306594"/>
              </a:lnTo>
              <a:lnTo>
                <a:pt x="397831" y="306594"/>
              </a:lnTo>
              <a:lnTo>
                <a:pt x="397831" y="304950"/>
              </a:lnTo>
              <a:lnTo>
                <a:pt x="397625" y="303717"/>
              </a:lnTo>
              <a:lnTo>
                <a:pt x="397557" y="303306"/>
              </a:lnTo>
              <a:close/>
            </a:path>
            <a:path w="403860" h="401320">
              <a:moveTo>
                <a:pt x="194436" y="148776"/>
              </a:moveTo>
              <a:lnTo>
                <a:pt x="180010" y="148776"/>
              </a:lnTo>
              <a:lnTo>
                <a:pt x="202190" y="193310"/>
              </a:lnTo>
              <a:lnTo>
                <a:pt x="225218" y="223626"/>
              </a:lnTo>
              <a:lnTo>
                <a:pt x="246705" y="242923"/>
              </a:lnTo>
              <a:lnTo>
                <a:pt x="264261" y="254399"/>
              </a:lnTo>
              <a:lnTo>
                <a:pt x="227070" y="261796"/>
              </a:lnTo>
              <a:lnTo>
                <a:pt x="188846" y="271454"/>
              </a:lnTo>
              <a:lnTo>
                <a:pt x="150060" y="283643"/>
              </a:lnTo>
              <a:lnTo>
                <a:pt x="112198" y="298374"/>
              </a:lnTo>
              <a:lnTo>
                <a:pt x="116235" y="298374"/>
              </a:lnTo>
              <a:lnTo>
                <a:pt x="150702" y="287849"/>
              </a:lnTo>
              <a:lnTo>
                <a:pt x="192750" y="277979"/>
              </a:lnTo>
              <a:lnTo>
                <a:pt x="236340" y="270189"/>
              </a:lnTo>
              <a:lnTo>
                <a:pt x="279468" y="264673"/>
              </a:lnTo>
              <a:lnTo>
                <a:pt x="310328" y="264673"/>
              </a:lnTo>
              <a:lnTo>
                <a:pt x="303716" y="261796"/>
              </a:lnTo>
              <a:lnTo>
                <a:pt x="331592" y="260518"/>
              </a:lnTo>
              <a:lnTo>
                <a:pt x="395202" y="260518"/>
              </a:lnTo>
              <a:lnTo>
                <a:pt x="384525" y="254758"/>
              </a:lnTo>
              <a:lnTo>
                <a:pt x="369196" y="251522"/>
              </a:lnTo>
              <a:lnTo>
                <a:pt x="285632" y="251522"/>
              </a:lnTo>
              <a:lnTo>
                <a:pt x="276096" y="246063"/>
              </a:lnTo>
              <a:lnTo>
                <a:pt x="228236" y="206949"/>
              </a:lnTo>
              <a:lnTo>
                <a:pt x="196513" y="154228"/>
              </a:lnTo>
              <a:lnTo>
                <a:pt x="194436" y="148776"/>
              </a:lnTo>
              <a:close/>
            </a:path>
            <a:path w="403860" h="401320">
              <a:moveTo>
                <a:pt x="310328" y="264673"/>
              </a:moveTo>
              <a:lnTo>
                <a:pt x="279468" y="264673"/>
              </a:lnTo>
              <a:lnTo>
                <a:pt x="306438" y="276861"/>
              </a:lnTo>
              <a:lnTo>
                <a:pt x="333101" y="286044"/>
              </a:lnTo>
              <a:lnTo>
                <a:pt x="357606" y="291837"/>
              </a:lnTo>
              <a:lnTo>
                <a:pt x="378104" y="293853"/>
              </a:lnTo>
              <a:lnTo>
                <a:pt x="390844" y="293853"/>
              </a:lnTo>
              <a:lnTo>
                <a:pt x="397831" y="290976"/>
              </a:lnTo>
              <a:lnTo>
                <a:pt x="398755" y="287277"/>
              </a:lnTo>
              <a:lnTo>
                <a:pt x="386734" y="287277"/>
              </a:lnTo>
              <a:lnTo>
                <a:pt x="370468" y="285434"/>
              </a:lnTo>
              <a:lnTo>
                <a:pt x="350311" y="280239"/>
              </a:lnTo>
              <a:lnTo>
                <a:pt x="327610" y="272193"/>
              </a:lnTo>
              <a:lnTo>
                <a:pt x="310328" y="264673"/>
              </a:lnTo>
              <a:close/>
            </a:path>
            <a:path w="403860" h="401320">
              <a:moveTo>
                <a:pt x="399475" y="284400"/>
              </a:moveTo>
              <a:lnTo>
                <a:pt x="396598" y="285633"/>
              </a:lnTo>
              <a:lnTo>
                <a:pt x="392077" y="287277"/>
              </a:lnTo>
              <a:lnTo>
                <a:pt x="398755" y="287277"/>
              </a:lnTo>
              <a:lnTo>
                <a:pt x="399475" y="284400"/>
              </a:lnTo>
              <a:close/>
            </a:path>
            <a:path w="403860" h="401320">
              <a:moveTo>
                <a:pt x="395202" y="260518"/>
              </a:moveTo>
              <a:lnTo>
                <a:pt x="331592" y="260518"/>
              </a:lnTo>
              <a:lnTo>
                <a:pt x="363976" y="261437"/>
              </a:lnTo>
              <a:lnTo>
                <a:pt x="390581" y="267056"/>
              </a:lnTo>
              <a:lnTo>
                <a:pt x="401119" y="279880"/>
              </a:lnTo>
              <a:lnTo>
                <a:pt x="402352" y="277003"/>
              </a:lnTo>
              <a:lnTo>
                <a:pt x="403580" y="275770"/>
              </a:lnTo>
              <a:lnTo>
                <a:pt x="403580" y="272893"/>
              </a:lnTo>
              <a:lnTo>
                <a:pt x="398582" y="262342"/>
              </a:lnTo>
              <a:lnTo>
                <a:pt x="395202" y="260518"/>
              </a:lnTo>
              <a:close/>
            </a:path>
            <a:path w="403860" h="401320">
              <a:moveTo>
                <a:pt x="334950" y="248645"/>
              </a:moveTo>
              <a:lnTo>
                <a:pt x="323950" y="248921"/>
              </a:lnTo>
              <a:lnTo>
                <a:pt x="311987" y="249621"/>
              </a:lnTo>
              <a:lnTo>
                <a:pt x="285632" y="251522"/>
              </a:lnTo>
              <a:lnTo>
                <a:pt x="369196" y="251522"/>
              </a:lnTo>
              <a:lnTo>
                <a:pt x="362839" y="250180"/>
              </a:lnTo>
              <a:lnTo>
                <a:pt x="334950" y="248645"/>
              </a:lnTo>
              <a:close/>
            </a:path>
            <a:path w="403860" h="401320">
              <a:moveTo>
                <a:pt x="192339" y="33700"/>
              </a:moveTo>
              <a:lnTo>
                <a:pt x="190124" y="45837"/>
              </a:lnTo>
              <a:lnTo>
                <a:pt x="187671" y="60774"/>
              </a:lnTo>
              <a:lnTo>
                <a:pt x="184306" y="80745"/>
              </a:lnTo>
              <a:lnTo>
                <a:pt x="180067" y="103670"/>
              </a:lnTo>
              <a:lnTo>
                <a:pt x="180010" y="103978"/>
              </a:lnTo>
              <a:lnTo>
                <a:pt x="188322" y="103978"/>
              </a:lnTo>
              <a:lnTo>
                <a:pt x="188698" y="101320"/>
              </a:lnTo>
              <a:lnTo>
                <a:pt x="190541" y="78703"/>
              </a:lnTo>
              <a:lnTo>
                <a:pt x="191537" y="56394"/>
              </a:lnTo>
              <a:lnTo>
                <a:pt x="192339" y="33700"/>
              </a:lnTo>
              <a:close/>
            </a:path>
            <a:path w="403860" h="401320">
              <a:moveTo>
                <a:pt x="188376" y="2465"/>
              </a:moveTo>
              <a:lnTo>
                <a:pt x="178366" y="2465"/>
              </a:lnTo>
              <a:lnTo>
                <a:pt x="182803" y="5265"/>
              </a:lnTo>
              <a:lnTo>
                <a:pt x="187083" y="9831"/>
              </a:lnTo>
              <a:lnTo>
                <a:pt x="190445" y="16567"/>
              </a:lnTo>
              <a:lnTo>
                <a:pt x="192339" y="26302"/>
              </a:lnTo>
              <a:lnTo>
                <a:pt x="193881" y="11096"/>
              </a:lnTo>
              <a:lnTo>
                <a:pt x="190490" y="3287"/>
              </a:lnTo>
              <a:lnTo>
                <a:pt x="188376" y="2465"/>
              </a:lnTo>
              <a:close/>
            </a:path>
          </a:pathLst>
        </a:custGeom>
        <a:solidFill>
          <a:srgbClr val="FFD8D8">
            <a:alpha val="50000"/>
          </a:srgbClr>
        </a:solidFill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ask Jakob (Bravida)" id="{65026719-E665-4D01-8EC8-D88886684172}" userId="S::jakob.rask@bravida.dk::5b3c7eec-8828-4a2a-841c-fb58742d8a2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2" dT="2025-12-15T11:37:47.01" personId="{65026719-E665-4D01-8EC8-D88886684172}" id="{B6722E28-7455-4D09-9F5D-5C23E0EB4679}">
    <text>Ny IBI boks se PN551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458"/>
  <sheetViews>
    <sheetView zoomScale="115" zoomScaleNormal="115" workbookViewId="0">
      <pane ySplit="2" topLeftCell="A282" activePane="bottomLeft" state="frozen"/>
      <selection pane="bottomLeft" activeCell="G98" sqref="G98"/>
    </sheetView>
  </sheetViews>
  <sheetFormatPr defaultColWidth="0" defaultRowHeight="0" customHeight="1" zeroHeight="1" outlineLevelCol="1"/>
  <cols>
    <col min="1" max="1" width="20.5" style="49" customWidth="1"/>
    <col min="2" max="2" width="38.33203125" style="89" customWidth="1"/>
    <col min="3" max="3" width="10.83203125" style="44" customWidth="1"/>
    <col min="4" max="4" width="10.83203125" style="37" customWidth="1"/>
    <col min="5" max="5" width="8" style="1" customWidth="1"/>
    <col min="6" max="7" width="10.83203125" style="1" customWidth="1" outlineLevel="1"/>
    <col min="8" max="8" width="11.33203125" style="1" customWidth="1" outlineLevel="1"/>
    <col min="9" max="9" width="17.6640625" style="21" bestFit="1" customWidth="1"/>
    <col min="10" max="10" width="8.1640625" style="37" bestFit="1" customWidth="1"/>
    <col min="11" max="11" width="14.1640625" style="21" customWidth="1"/>
    <col min="12" max="12" width="12" style="21" bestFit="1" customWidth="1"/>
    <col min="13" max="13" width="15.1640625" style="1" bestFit="1" customWidth="1"/>
    <col min="14" max="15" width="14.5" style="1" customWidth="1"/>
    <col min="16" max="16" width="13" style="1" bestFit="1" customWidth="1"/>
    <col min="17" max="17" width="11.6640625" style="1" bestFit="1" customWidth="1"/>
    <col min="18" max="21" width="14.1640625" style="1" bestFit="1" customWidth="1"/>
    <col min="22" max="26" width="15.83203125" style="1" customWidth="1"/>
    <col min="27" max="27" width="12.5" style="1" customWidth="1"/>
    <col min="28" max="28" width="17.5" style="1" bestFit="1" customWidth="1"/>
    <col min="29" max="29" width="18.83203125" style="1" bestFit="1" customWidth="1"/>
    <col min="30" max="30" width="12.6640625" style="1" bestFit="1" customWidth="1"/>
    <col min="31" max="31" width="12.6640625" style="58" customWidth="1"/>
    <col min="32" max="32" width="46.83203125" style="139" customWidth="1"/>
    <col min="33" max="36" width="0" style="1" hidden="1" customWidth="1"/>
    <col min="37" max="16384" width="14" style="1" hidden="1"/>
  </cols>
  <sheetData>
    <row r="1" spans="1:32" ht="12.75">
      <c r="I1" s="129"/>
      <c r="K1" s="129"/>
      <c r="L1" s="129"/>
    </row>
    <row r="2" spans="1:32" s="26" customFormat="1" ht="59.25" customHeight="1">
      <c r="A2" s="45" t="s">
        <v>0</v>
      </c>
      <c r="B2" s="14" t="s">
        <v>1</v>
      </c>
      <c r="C2" s="14" t="s">
        <v>2</v>
      </c>
      <c r="D2" s="32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25" t="s">
        <v>8</v>
      </c>
      <c r="J2" s="32" t="s">
        <v>9</v>
      </c>
      <c r="K2" s="25" t="s">
        <v>10</v>
      </c>
      <c r="L2" s="25" t="s">
        <v>11</v>
      </c>
      <c r="M2" s="14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12" t="s">
        <v>22</v>
      </c>
      <c r="X2" s="12" t="s">
        <v>23</v>
      </c>
      <c r="Y2" s="12" t="s">
        <v>24</v>
      </c>
      <c r="Z2" s="12" t="s">
        <v>25</v>
      </c>
      <c r="AA2" s="12" t="s">
        <v>26</v>
      </c>
      <c r="AB2" s="13" t="s">
        <v>27</v>
      </c>
      <c r="AC2" s="12" t="s">
        <v>28</v>
      </c>
      <c r="AD2" s="54" t="s">
        <v>29</v>
      </c>
      <c r="AE2" s="57" t="s">
        <v>30</v>
      </c>
      <c r="AF2" s="140" t="s">
        <v>31</v>
      </c>
    </row>
    <row r="3" spans="1:32" ht="15" customHeight="1">
      <c r="A3" s="150" t="s">
        <v>32</v>
      </c>
      <c r="B3" s="157"/>
      <c r="C3" s="131"/>
      <c r="D3" s="132"/>
      <c r="E3" s="157"/>
      <c r="F3" s="157"/>
      <c r="G3" s="157"/>
      <c r="H3" s="157"/>
      <c r="I3" s="157"/>
      <c r="J3" s="132"/>
      <c r="K3" s="157"/>
      <c r="L3" s="157"/>
      <c r="M3" s="179"/>
      <c r="N3" s="157" t="s">
        <v>33</v>
      </c>
      <c r="O3" s="157"/>
      <c r="P3" s="157" t="s">
        <v>33</v>
      </c>
      <c r="Q3" s="157"/>
      <c r="R3" s="157" t="s">
        <v>33</v>
      </c>
      <c r="S3" s="189" t="s">
        <v>34</v>
      </c>
      <c r="T3" s="160" t="s">
        <v>35</v>
      </c>
      <c r="U3" s="160" t="s">
        <v>35</v>
      </c>
      <c r="V3" s="157" t="s">
        <v>36</v>
      </c>
      <c r="W3" s="157" t="s">
        <v>36</v>
      </c>
      <c r="X3" s="157" t="s">
        <v>35</v>
      </c>
      <c r="Y3" s="157" t="s">
        <v>35</v>
      </c>
      <c r="Z3" s="157" t="s">
        <v>35</v>
      </c>
      <c r="AA3" s="157" t="s">
        <v>37</v>
      </c>
      <c r="AB3" s="157" t="s">
        <v>36</v>
      </c>
      <c r="AC3" s="157" t="s">
        <v>37</v>
      </c>
      <c r="AD3" s="191" t="s">
        <v>37</v>
      </c>
      <c r="AE3" s="20">
        <v>1</v>
      </c>
      <c r="AF3" s="149"/>
    </row>
    <row r="4" spans="1:32" ht="15" customHeight="1">
      <c r="A4" s="153" t="s">
        <v>38</v>
      </c>
      <c r="B4" s="162"/>
      <c r="C4" s="166"/>
      <c r="D4" s="171"/>
      <c r="E4" s="162"/>
      <c r="F4" s="162"/>
      <c r="G4" s="162"/>
      <c r="H4" s="199"/>
      <c r="I4" s="19"/>
      <c r="J4" s="171"/>
      <c r="K4" s="19"/>
      <c r="L4" s="19"/>
      <c r="M4" s="182">
        <v>1</v>
      </c>
      <c r="N4" s="186">
        <v>1</v>
      </c>
      <c r="O4" s="186"/>
      <c r="P4" s="186">
        <v>0</v>
      </c>
      <c r="Q4" s="186">
        <f>SUM(Q5)</f>
        <v>1</v>
      </c>
      <c r="R4" s="186">
        <v>0</v>
      </c>
      <c r="S4" s="186">
        <v>0</v>
      </c>
      <c r="T4" s="186">
        <v>0</v>
      </c>
      <c r="U4" s="186">
        <v>0</v>
      </c>
      <c r="V4" s="186">
        <v>0</v>
      </c>
      <c r="W4" s="186">
        <v>0</v>
      </c>
      <c r="X4" s="186">
        <v>0</v>
      </c>
      <c r="Y4" s="186">
        <v>0</v>
      </c>
      <c r="Z4" s="186">
        <v>0</v>
      </c>
      <c r="AA4" s="186">
        <v>5</v>
      </c>
      <c r="AB4" s="186">
        <v>0</v>
      </c>
      <c r="AC4" s="186">
        <v>0</v>
      </c>
      <c r="AD4" s="195">
        <v>0</v>
      </c>
      <c r="AE4" s="53">
        <v>2</v>
      </c>
      <c r="AF4" s="141"/>
    </row>
    <row r="5" spans="1:32" ht="15">
      <c r="A5" s="46" t="s">
        <v>39</v>
      </c>
      <c r="B5" s="10" t="s">
        <v>40</v>
      </c>
      <c r="C5" s="38" t="s">
        <v>41</v>
      </c>
      <c r="D5" s="31" t="s">
        <v>42</v>
      </c>
      <c r="E5" s="10" t="s">
        <v>43</v>
      </c>
      <c r="F5" s="10">
        <v>7</v>
      </c>
      <c r="G5" s="10">
        <v>2</v>
      </c>
      <c r="H5" s="10" t="s">
        <v>44</v>
      </c>
      <c r="I5" s="29" t="s">
        <v>45</v>
      </c>
      <c r="J5" s="31"/>
      <c r="K5" s="4"/>
      <c r="L5" s="4"/>
      <c r="M5" s="15">
        <v>1</v>
      </c>
      <c r="N5" s="11">
        <v>1</v>
      </c>
      <c r="O5" s="11"/>
      <c r="P5" s="11">
        <v>0</v>
      </c>
      <c r="Q5" s="11">
        <v>1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5</v>
      </c>
      <c r="AB5" s="11">
        <v>0</v>
      </c>
      <c r="AC5" s="11">
        <v>0</v>
      </c>
      <c r="AD5" s="55">
        <v>0</v>
      </c>
      <c r="AE5" s="53">
        <v>3</v>
      </c>
      <c r="AF5" s="142"/>
    </row>
    <row r="6" spans="1:32" s="22" customFormat="1" ht="15">
      <c r="A6" s="153" t="s">
        <v>46</v>
      </c>
      <c r="B6" s="162"/>
      <c r="C6" s="166"/>
      <c r="D6" s="171"/>
      <c r="E6" s="162"/>
      <c r="F6" s="162"/>
      <c r="G6" s="162"/>
      <c r="H6" s="199"/>
      <c r="I6" s="19"/>
      <c r="J6" s="171"/>
      <c r="K6" s="19"/>
      <c r="L6" s="19"/>
      <c r="M6" s="182">
        <f>SUM(M7:M55)</f>
        <v>49</v>
      </c>
      <c r="N6" s="186">
        <f>SUM(N7:N55)</f>
        <v>77</v>
      </c>
      <c r="O6" s="186"/>
      <c r="P6" s="186">
        <f t="shared" ref="P6:AD6" si="0">SUM(P7:P55)</f>
        <v>0</v>
      </c>
      <c r="Q6" s="186">
        <f t="shared" si="0"/>
        <v>77</v>
      </c>
      <c r="R6" s="186">
        <f t="shared" si="0"/>
        <v>0</v>
      </c>
      <c r="S6" s="186">
        <f t="shared" si="0"/>
        <v>0</v>
      </c>
      <c r="T6" s="186">
        <f t="shared" si="0"/>
        <v>0</v>
      </c>
      <c r="U6" s="186">
        <f t="shared" si="0"/>
        <v>0</v>
      </c>
      <c r="V6" s="186">
        <f t="shared" si="0"/>
        <v>0</v>
      </c>
      <c r="W6" s="186">
        <f t="shared" si="0"/>
        <v>0</v>
      </c>
      <c r="X6" s="186">
        <f t="shared" si="0"/>
        <v>78</v>
      </c>
      <c r="Y6" s="186">
        <f t="shared" si="0"/>
        <v>0</v>
      </c>
      <c r="Z6" s="186">
        <f t="shared" si="0"/>
        <v>0</v>
      </c>
      <c r="AA6" s="186">
        <f t="shared" si="0"/>
        <v>0</v>
      </c>
      <c r="AB6" s="186">
        <f t="shared" si="0"/>
        <v>0</v>
      </c>
      <c r="AC6" s="186">
        <f t="shared" si="0"/>
        <v>0</v>
      </c>
      <c r="AD6" s="195">
        <f t="shared" si="0"/>
        <v>0</v>
      </c>
      <c r="AE6" s="53">
        <v>4</v>
      </c>
      <c r="AF6" s="141"/>
    </row>
    <row r="7" spans="1:32" ht="15">
      <c r="A7" s="156" t="s">
        <v>47</v>
      </c>
      <c r="B7" s="4" t="s">
        <v>48</v>
      </c>
      <c r="C7" s="39" t="s">
        <v>41</v>
      </c>
      <c r="D7" s="33" t="s">
        <v>49</v>
      </c>
      <c r="E7" s="23" t="s">
        <v>43</v>
      </c>
      <c r="F7" s="23">
        <v>2</v>
      </c>
      <c r="G7" s="23">
        <v>1</v>
      </c>
      <c r="H7" s="10" t="s">
        <v>44</v>
      </c>
      <c r="I7" s="24" t="str">
        <f t="shared" ref="I7:I38" si="1">A7</f>
        <v>A1.020.014</v>
      </c>
      <c r="J7" s="33"/>
      <c r="K7" s="24" t="s">
        <v>50</v>
      </c>
      <c r="L7" s="24"/>
      <c r="M7" s="15">
        <v>1</v>
      </c>
      <c r="N7" s="11">
        <v>1</v>
      </c>
      <c r="O7" s="11"/>
      <c r="P7" s="11">
        <v>0</v>
      </c>
      <c r="Q7" s="11">
        <v>1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1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55">
        <v>0</v>
      </c>
      <c r="AE7" s="20">
        <v>5</v>
      </c>
      <c r="AF7" s="200"/>
    </row>
    <row r="8" spans="1:32" ht="15">
      <c r="A8" s="47" t="s">
        <v>51</v>
      </c>
      <c r="B8" s="4" t="s">
        <v>52</v>
      </c>
      <c r="C8" s="40" t="s">
        <v>41</v>
      </c>
      <c r="D8" s="31" t="s">
        <v>49</v>
      </c>
      <c r="E8" s="10" t="s">
        <v>43</v>
      </c>
      <c r="F8" s="4">
        <v>1</v>
      </c>
      <c r="G8" s="4">
        <v>1</v>
      </c>
      <c r="H8" s="10" t="s">
        <v>44</v>
      </c>
      <c r="I8" s="24" t="str">
        <f t="shared" si="1"/>
        <v>A1.020.016</v>
      </c>
      <c r="J8" s="31"/>
      <c r="K8" s="4"/>
      <c r="L8" s="4"/>
      <c r="M8" s="16">
        <v>1</v>
      </c>
      <c r="N8" s="5">
        <v>2</v>
      </c>
      <c r="O8" s="5"/>
      <c r="P8" s="5">
        <v>0</v>
      </c>
      <c r="Q8" s="5">
        <v>2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4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6">
        <v>0</v>
      </c>
      <c r="AE8" s="20">
        <v>6</v>
      </c>
      <c r="AF8" s="142"/>
    </row>
    <row r="9" spans="1:32" ht="15">
      <c r="A9" s="47" t="s">
        <v>53</v>
      </c>
      <c r="B9" s="4" t="s">
        <v>54</v>
      </c>
      <c r="C9" s="39" t="s">
        <v>41</v>
      </c>
      <c r="D9" s="33" t="s">
        <v>49</v>
      </c>
      <c r="E9" s="10" t="s">
        <v>43</v>
      </c>
      <c r="F9" s="4">
        <v>4</v>
      </c>
      <c r="G9" s="23">
        <v>2</v>
      </c>
      <c r="H9" s="10" t="s">
        <v>44</v>
      </c>
      <c r="I9" s="24" t="str">
        <f t="shared" si="1"/>
        <v>A1.030.010</v>
      </c>
      <c r="J9" s="33"/>
      <c r="K9" s="4"/>
      <c r="L9" s="4"/>
      <c r="M9" s="16">
        <v>1</v>
      </c>
      <c r="N9" s="5">
        <v>1</v>
      </c>
      <c r="O9" s="5"/>
      <c r="P9" s="5">
        <v>0</v>
      </c>
      <c r="Q9" s="5">
        <v>1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1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6">
        <v>0</v>
      </c>
      <c r="AE9" s="53">
        <v>7</v>
      </c>
      <c r="AF9" s="142"/>
    </row>
    <row r="10" spans="1:32" ht="15">
      <c r="A10" s="47" t="s">
        <v>55</v>
      </c>
      <c r="B10" s="4" t="s">
        <v>56</v>
      </c>
      <c r="C10" s="40" t="s">
        <v>41</v>
      </c>
      <c r="D10" s="34" t="s">
        <v>49</v>
      </c>
      <c r="E10" s="4" t="s">
        <v>57</v>
      </c>
      <c r="F10" s="4">
        <v>1</v>
      </c>
      <c r="G10" s="4">
        <v>1</v>
      </c>
      <c r="H10" s="10" t="s">
        <v>58</v>
      </c>
      <c r="I10" s="24" t="str">
        <f t="shared" si="1"/>
        <v>A2.020.004</v>
      </c>
      <c r="J10" s="34"/>
      <c r="K10" s="4"/>
      <c r="L10" s="4"/>
      <c r="M10" s="16">
        <v>1</v>
      </c>
      <c r="N10" s="5">
        <v>4</v>
      </c>
      <c r="O10" s="5"/>
      <c r="P10" s="5">
        <v>0</v>
      </c>
      <c r="Q10" s="5">
        <v>4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3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6">
        <v>0</v>
      </c>
      <c r="AE10" s="53">
        <v>8</v>
      </c>
      <c r="AF10" s="142"/>
    </row>
    <row r="11" spans="1:32" ht="15">
      <c r="A11" s="47" t="s">
        <v>59</v>
      </c>
      <c r="B11" s="4" t="s">
        <v>60</v>
      </c>
      <c r="C11" s="39" t="s">
        <v>41</v>
      </c>
      <c r="D11" s="33" t="s">
        <v>49</v>
      </c>
      <c r="E11" s="4" t="s">
        <v>57</v>
      </c>
      <c r="F11" s="4">
        <v>3</v>
      </c>
      <c r="G11" s="23">
        <v>1</v>
      </c>
      <c r="H11" s="10" t="s">
        <v>58</v>
      </c>
      <c r="I11" s="24" t="str">
        <f t="shared" si="1"/>
        <v>A2.020.032</v>
      </c>
      <c r="J11" s="33"/>
      <c r="K11" s="4"/>
      <c r="L11" s="4"/>
      <c r="M11" s="16">
        <v>1</v>
      </c>
      <c r="N11" s="5">
        <v>1</v>
      </c>
      <c r="O11" s="5"/>
      <c r="P11" s="5">
        <v>0</v>
      </c>
      <c r="Q11" s="5">
        <v>1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6">
        <v>0</v>
      </c>
      <c r="AE11" s="53">
        <v>9</v>
      </c>
      <c r="AF11" s="142"/>
    </row>
    <row r="12" spans="1:32" ht="15">
      <c r="A12" s="47" t="s">
        <v>61</v>
      </c>
      <c r="B12" s="4" t="s">
        <v>62</v>
      </c>
      <c r="C12" s="40" t="s">
        <v>41</v>
      </c>
      <c r="D12" s="31" t="s">
        <v>49</v>
      </c>
      <c r="E12" s="4" t="s">
        <v>57</v>
      </c>
      <c r="F12" s="4">
        <v>3</v>
      </c>
      <c r="G12" s="4">
        <v>1</v>
      </c>
      <c r="H12" s="10" t="s">
        <v>58</v>
      </c>
      <c r="I12" s="24" t="str">
        <f t="shared" si="1"/>
        <v>A2.020.033</v>
      </c>
      <c r="J12" s="31"/>
      <c r="K12" s="4"/>
      <c r="L12" s="4"/>
      <c r="M12" s="16">
        <v>1</v>
      </c>
      <c r="N12" s="5">
        <v>1</v>
      </c>
      <c r="O12" s="5"/>
      <c r="P12" s="5">
        <v>0</v>
      </c>
      <c r="Q12" s="5">
        <v>1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1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6">
        <v>0</v>
      </c>
      <c r="AE12" s="20">
        <v>10</v>
      </c>
      <c r="AF12" s="142"/>
    </row>
    <row r="13" spans="1:32" ht="15">
      <c r="A13" s="47" t="s">
        <v>63</v>
      </c>
      <c r="B13" s="4" t="s">
        <v>64</v>
      </c>
      <c r="C13" s="39" t="s">
        <v>41</v>
      </c>
      <c r="D13" s="33" t="s">
        <v>49</v>
      </c>
      <c r="E13" s="4" t="s">
        <v>57</v>
      </c>
      <c r="F13" s="4">
        <v>1</v>
      </c>
      <c r="G13" s="23">
        <v>1</v>
      </c>
      <c r="H13" s="10" t="s">
        <v>58</v>
      </c>
      <c r="I13" s="24" t="str">
        <f t="shared" si="1"/>
        <v>A2.020.037</v>
      </c>
      <c r="J13" s="33"/>
      <c r="K13" s="4"/>
      <c r="L13" s="4"/>
      <c r="M13" s="16">
        <v>1</v>
      </c>
      <c r="N13" s="5">
        <v>1</v>
      </c>
      <c r="O13" s="5"/>
      <c r="P13" s="5">
        <v>0</v>
      </c>
      <c r="Q13" s="5">
        <v>1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6">
        <v>0</v>
      </c>
      <c r="AE13" s="20">
        <v>11</v>
      </c>
      <c r="AF13" s="142"/>
    </row>
    <row r="14" spans="1:32" ht="15">
      <c r="A14" s="47" t="s">
        <v>65</v>
      </c>
      <c r="B14" s="4" t="s">
        <v>66</v>
      </c>
      <c r="C14" s="40" t="s">
        <v>41</v>
      </c>
      <c r="D14" s="34" t="s">
        <v>49</v>
      </c>
      <c r="E14" s="4" t="s">
        <v>57</v>
      </c>
      <c r="F14" s="4">
        <v>1</v>
      </c>
      <c r="G14" s="4">
        <v>1</v>
      </c>
      <c r="H14" s="10" t="s">
        <v>58</v>
      </c>
      <c r="I14" s="24" t="str">
        <f t="shared" si="1"/>
        <v>A2.020.038</v>
      </c>
      <c r="J14" s="34"/>
      <c r="K14" s="4"/>
      <c r="L14" s="4"/>
      <c r="M14" s="16">
        <v>1</v>
      </c>
      <c r="N14" s="5">
        <v>1</v>
      </c>
      <c r="O14" s="5"/>
      <c r="P14" s="5">
        <v>0</v>
      </c>
      <c r="Q14" s="5">
        <v>1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6">
        <v>0</v>
      </c>
      <c r="AE14" s="53">
        <v>12</v>
      </c>
      <c r="AF14" s="142"/>
    </row>
    <row r="15" spans="1:32" ht="15">
      <c r="A15" s="47" t="s">
        <v>67</v>
      </c>
      <c r="B15" s="4" t="s">
        <v>68</v>
      </c>
      <c r="C15" s="39" t="s">
        <v>41</v>
      </c>
      <c r="D15" s="33" t="s">
        <v>49</v>
      </c>
      <c r="E15" s="4" t="s">
        <v>57</v>
      </c>
      <c r="F15" s="4">
        <v>4</v>
      </c>
      <c r="G15" s="23">
        <v>2</v>
      </c>
      <c r="H15" s="10" t="s">
        <v>58</v>
      </c>
      <c r="I15" s="24" t="str">
        <f t="shared" si="1"/>
        <v>A2.030.009</v>
      </c>
      <c r="J15" s="33"/>
      <c r="K15" s="4"/>
      <c r="L15" s="4"/>
      <c r="M15" s="16">
        <v>1</v>
      </c>
      <c r="N15" s="5">
        <v>1</v>
      </c>
      <c r="O15" s="5"/>
      <c r="P15" s="5">
        <v>0</v>
      </c>
      <c r="Q15" s="5">
        <v>1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6">
        <v>0</v>
      </c>
      <c r="AE15" s="53">
        <v>13</v>
      </c>
      <c r="AF15" s="142"/>
    </row>
    <row r="16" spans="1:32" ht="15" customHeight="1">
      <c r="A16" s="47" t="s">
        <v>69</v>
      </c>
      <c r="B16" s="4" t="s">
        <v>70</v>
      </c>
      <c r="C16" s="40" t="s">
        <v>41</v>
      </c>
      <c r="D16" s="31" t="s">
        <v>49</v>
      </c>
      <c r="E16" s="4" t="s">
        <v>71</v>
      </c>
      <c r="F16" s="4">
        <v>2</v>
      </c>
      <c r="G16" s="4">
        <v>1</v>
      </c>
      <c r="H16" s="10" t="s">
        <v>72</v>
      </c>
      <c r="I16" s="24" t="str">
        <f t="shared" si="1"/>
        <v>S1.020.103</v>
      </c>
      <c r="J16" s="31"/>
      <c r="K16" s="4"/>
      <c r="L16" s="4"/>
      <c r="M16" s="16">
        <v>1</v>
      </c>
      <c r="N16" s="5">
        <v>1</v>
      </c>
      <c r="O16" s="5"/>
      <c r="P16" s="5">
        <v>0</v>
      </c>
      <c r="Q16" s="5">
        <v>1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6">
        <v>0</v>
      </c>
      <c r="AE16" s="53">
        <v>14</v>
      </c>
      <c r="AF16" s="142"/>
    </row>
    <row r="17" spans="1:32" ht="15">
      <c r="A17" s="47" t="s">
        <v>73</v>
      </c>
      <c r="B17" s="4" t="s">
        <v>74</v>
      </c>
      <c r="C17" s="39" t="s">
        <v>41</v>
      </c>
      <c r="D17" s="33" t="s">
        <v>49</v>
      </c>
      <c r="E17" s="4" t="s">
        <v>71</v>
      </c>
      <c r="F17" s="4">
        <v>2</v>
      </c>
      <c r="G17" s="23">
        <v>1</v>
      </c>
      <c r="H17" s="10" t="s">
        <v>72</v>
      </c>
      <c r="I17" s="24" t="str">
        <f t="shared" si="1"/>
        <v>S1.020.116</v>
      </c>
      <c r="J17" s="33"/>
      <c r="K17" s="4"/>
      <c r="L17" s="4"/>
      <c r="M17" s="16">
        <v>1</v>
      </c>
      <c r="N17" s="5">
        <v>1</v>
      </c>
      <c r="O17" s="5"/>
      <c r="P17" s="5">
        <v>0</v>
      </c>
      <c r="Q17" s="5">
        <v>1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1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6">
        <v>0</v>
      </c>
      <c r="AE17" s="20">
        <v>15</v>
      </c>
      <c r="AF17" s="142"/>
    </row>
    <row r="18" spans="1:32" ht="15">
      <c r="A18" s="47" t="s">
        <v>75</v>
      </c>
      <c r="B18" s="4" t="s">
        <v>76</v>
      </c>
      <c r="C18" s="40" t="s">
        <v>41</v>
      </c>
      <c r="D18" s="34" t="s">
        <v>49</v>
      </c>
      <c r="E18" s="4" t="s">
        <v>71</v>
      </c>
      <c r="F18" s="4">
        <v>1</v>
      </c>
      <c r="G18" s="4">
        <v>1</v>
      </c>
      <c r="H18" s="10" t="s">
        <v>72</v>
      </c>
      <c r="I18" s="24" t="str">
        <f t="shared" si="1"/>
        <v>S1.020.142</v>
      </c>
      <c r="J18" s="34"/>
      <c r="K18" s="4"/>
      <c r="L18" s="4"/>
      <c r="M18" s="16">
        <v>1</v>
      </c>
      <c r="N18" s="5">
        <v>1</v>
      </c>
      <c r="O18" s="5"/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6">
        <v>0</v>
      </c>
      <c r="AE18" s="20">
        <v>16</v>
      </c>
      <c r="AF18" s="142"/>
    </row>
    <row r="19" spans="1:32" ht="15" customHeight="1">
      <c r="A19" s="47" t="s">
        <v>77</v>
      </c>
      <c r="B19" s="4" t="s">
        <v>78</v>
      </c>
      <c r="C19" s="39" t="s">
        <v>41</v>
      </c>
      <c r="D19" s="33" t="s">
        <v>49</v>
      </c>
      <c r="E19" s="4" t="s">
        <v>71</v>
      </c>
      <c r="F19" s="4">
        <v>1</v>
      </c>
      <c r="G19" s="23">
        <v>1</v>
      </c>
      <c r="H19" s="10" t="s">
        <v>72</v>
      </c>
      <c r="I19" s="24" t="str">
        <f t="shared" si="1"/>
        <v>S1.020.143</v>
      </c>
      <c r="J19" s="33"/>
      <c r="K19" s="4"/>
      <c r="L19" s="4"/>
      <c r="M19" s="16">
        <v>1</v>
      </c>
      <c r="N19" s="5">
        <v>1</v>
      </c>
      <c r="O19" s="5"/>
      <c r="P19" s="5">
        <v>0</v>
      </c>
      <c r="Q19" s="5">
        <v>1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1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6">
        <v>0</v>
      </c>
      <c r="AE19" s="53">
        <v>17</v>
      </c>
      <c r="AF19" s="142"/>
    </row>
    <row r="20" spans="1:32" ht="15" customHeight="1">
      <c r="A20" s="47" t="s">
        <v>79</v>
      </c>
      <c r="B20" s="4" t="s">
        <v>80</v>
      </c>
      <c r="C20" s="40" t="s">
        <v>41</v>
      </c>
      <c r="D20" s="31" t="s">
        <v>49</v>
      </c>
      <c r="E20" s="4" t="s">
        <v>71</v>
      </c>
      <c r="F20" s="4">
        <v>1</v>
      </c>
      <c r="G20" s="4">
        <v>1</v>
      </c>
      <c r="H20" s="10" t="s">
        <v>72</v>
      </c>
      <c r="I20" s="24" t="str">
        <f t="shared" si="1"/>
        <v>S1.020.145</v>
      </c>
      <c r="J20" s="31"/>
      <c r="K20" s="4"/>
      <c r="L20" s="4"/>
      <c r="M20" s="16">
        <v>1</v>
      </c>
      <c r="N20" s="5">
        <v>4</v>
      </c>
      <c r="O20" s="5"/>
      <c r="P20" s="5">
        <v>0</v>
      </c>
      <c r="Q20" s="5">
        <v>4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4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6">
        <v>0</v>
      </c>
      <c r="AE20" s="53">
        <v>18</v>
      </c>
      <c r="AF20" s="142"/>
    </row>
    <row r="21" spans="1:32" ht="15" customHeight="1">
      <c r="A21" s="47" t="s">
        <v>81</v>
      </c>
      <c r="B21" s="4" t="s">
        <v>82</v>
      </c>
      <c r="C21" s="39" t="s">
        <v>41</v>
      </c>
      <c r="D21" s="33" t="s">
        <v>49</v>
      </c>
      <c r="E21" s="4" t="s">
        <v>83</v>
      </c>
      <c r="F21" s="4">
        <v>2</v>
      </c>
      <c r="G21" s="23">
        <v>1</v>
      </c>
      <c r="H21" s="10" t="s">
        <v>84</v>
      </c>
      <c r="I21" s="24" t="str">
        <f t="shared" si="1"/>
        <v>S2.020.203</v>
      </c>
      <c r="J21" s="33"/>
      <c r="K21" s="4"/>
      <c r="L21" s="4"/>
      <c r="M21" s="16">
        <v>1</v>
      </c>
      <c r="N21" s="5">
        <v>1</v>
      </c>
      <c r="O21" s="5"/>
      <c r="P21" s="5">
        <v>0</v>
      </c>
      <c r="Q21" s="5">
        <v>1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1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6">
        <v>0</v>
      </c>
      <c r="AE21" s="53">
        <v>19</v>
      </c>
      <c r="AF21" s="142"/>
    </row>
    <row r="22" spans="1:32" ht="15" customHeight="1">
      <c r="A22" s="47" t="s">
        <v>85</v>
      </c>
      <c r="B22" s="4" t="s">
        <v>86</v>
      </c>
      <c r="C22" s="40" t="s">
        <v>41</v>
      </c>
      <c r="D22" s="34" t="s">
        <v>49</v>
      </c>
      <c r="E22" s="4" t="s">
        <v>83</v>
      </c>
      <c r="F22" s="4">
        <v>2</v>
      </c>
      <c r="G22" s="4">
        <v>1</v>
      </c>
      <c r="H22" s="10" t="s">
        <v>84</v>
      </c>
      <c r="I22" s="24" t="str">
        <f t="shared" si="1"/>
        <v>S2.020.216</v>
      </c>
      <c r="J22" s="34"/>
      <c r="K22" s="4"/>
      <c r="L22" s="4"/>
      <c r="M22" s="16">
        <v>1</v>
      </c>
      <c r="N22" s="5">
        <v>1</v>
      </c>
      <c r="O22" s="5"/>
      <c r="P22" s="5">
        <v>0</v>
      </c>
      <c r="Q22" s="5">
        <v>1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1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6">
        <v>0</v>
      </c>
      <c r="AE22" s="20">
        <v>20</v>
      </c>
      <c r="AF22" s="142"/>
    </row>
    <row r="23" spans="1:32" ht="15" customHeight="1">
      <c r="A23" s="47" t="s">
        <v>87</v>
      </c>
      <c r="B23" s="4" t="s">
        <v>88</v>
      </c>
      <c r="C23" s="39" t="s">
        <v>41</v>
      </c>
      <c r="D23" s="33" t="s">
        <v>49</v>
      </c>
      <c r="E23" s="4" t="s">
        <v>83</v>
      </c>
      <c r="F23" s="4">
        <v>1</v>
      </c>
      <c r="G23" s="23">
        <v>1</v>
      </c>
      <c r="H23" s="10" t="s">
        <v>84</v>
      </c>
      <c r="I23" s="24" t="str">
        <f t="shared" si="1"/>
        <v>S2.020.242</v>
      </c>
      <c r="J23" s="33"/>
      <c r="K23" s="4"/>
      <c r="L23" s="4"/>
      <c r="M23" s="16">
        <v>1</v>
      </c>
      <c r="N23" s="5">
        <v>1</v>
      </c>
      <c r="O23" s="5"/>
      <c r="P23" s="5">
        <v>0</v>
      </c>
      <c r="Q23" s="5">
        <v>1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1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6">
        <v>0</v>
      </c>
      <c r="AE23" s="20">
        <v>21</v>
      </c>
      <c r="AF23" s="142"/>
    </row>
    <row r="24" spans="1:32" ht="15" customHeight="1">
      <c r="A24" s="47" t="s">
        <v>89</v>
      </c>
      <c r="B24" s="4" t="s">
        <v>90</v>
      </c>
      <c r="C24" s="40" t="s">
        <v>41</v>
      </c>
      <c r="D24" s="31" t="s">
        <v>49</v>
      </c>
      <c r="E24" s="4" t="s">
        <v>83</v>
      </c>
      <c r="F24" s="4">
        <v>1</v>
      </c>
      <c r="G24" s="4">
        <v>1</v>
      </c>
      <c r="H24" s="10" t="s">
        <v>84</v>
      </c>
      <c r="I24" s="24" t="str">
        <f t="shared" si="1"/>
        <v>S2.020.243</v>
      </c>
      <c r="J24" s="31"/>
      <c r="K24" s="4"/>
      <c r="L24" s="4"/>
      <c r="M24" s="16">
        <v>1</v>
      </c>
      <c r="N24" s="5">
        <v>1</v>
      </c>
      <c r="O24" s="5"/>
      <c r="P24" s="5">
        <v>0</v>
      </c>
      <c r="Q24" s="5">
        <v>1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1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6">
        <v>0</v>
      </c>
      <c r="AE24" s="53">
        <v>22</v>
      </c>
      <c r="AF24" s="142"/>
    </row>
    <row r="25" spans="1:32" ht="15" customHeight="1">
      <c r="A25" s="47" t="s">
        <v>91</v>
      </c>
      <c r="B25" s="4" t="s">
        <v>92</v>
      </c>
      <c r="C25" s="39" t="s">
        <v>41</v>
      </c>
      <c r="D25" s="33" t="s">
        <v>49</v>
      </c>
      <c r="E25" s="4" t="s">
        <v>83</v>
      </c>
      <c r="F25" s="4">
        <v>1</v>
      </c>
      <c r="G25" s="23">
        <v>1</v>
      </c>
      <c r="H25" s="10" t="s">
        <v>84</v>
      </c>
      <c r="I25" s="24" t="str">
        <f t="shared" si="1"/>
        <v>S2.020.245</v>
      </c>
      <c r="J25" s="33"/>
      <c r="K25" s="4"/>
      <c r="L25" s="4"/>
      <c r="M25" s="16">
        <v>1</v>
      </c>
      <c r="N25" s="5">
        <v>4</v>
      </c>
      <c r="O25" s="5"/>
      <c r="P25" s="5">
        <v>0</v>
      </c>
      <c r="Q25" s="5">
        <v>4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4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6">
        <v>0</v>
      </c>
      <c r="AE25" s="53">
        <v>23</v>
      </c>
      <c r="AF25" s="142"/>
    </row>
    <row r="26" spans="1:32" ht="15" customHeight="1">
      <c r="A26" s="47" t="s">
        <v>93</v>
      </c>
      <c r="B26" s="90" t="s">
        <v>94</v>
      </c>
      <c r="C26" s="40" t="s">
        <v>41</v>
      </c>
      <c r="D26" s="34" t="s">
        <v>49</v>
      </c>
      <c r="E26" s="4" t="s">
        <v>95</v>
      </c>
      <c r="F26" s="4">
        <v>2</v>
      </c>
      <c r="G26" s="4">
        <v>1</v>
      </c>
      <c r="H26" s="10" t="s">
        <v>96</v>
      </c>
      <c r="I26" s="24" t="str">
        <f t="shared" si="1"/>
        <v>S3.020.303</v>
      </c>
      <c r="J26" s="34"/>
      <c r="K26" s="4"/>
      <c r="L26" s="4"/>
      <c r="M26" s="16">
        <v>1</v>
      </c>
      <c r="N26" s="5">
        <v>1</v>
      </c>
      <c r="O26" s="5"/>
      <c r="P26" s="5">
        <v>0</v>
      </c>
      <c r="Q26" s="5">
        <v>1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1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6">
        <v>0</v>
      </c>
      <c r="AE26" s="53">
        <v>24</v>
      </c>
      <c r="AF26" s="142"/>
    </row>
    <row r="27" spans="1:32" ht="15" customHeight="1">
      <c r="A27" s="47" t="s">
        <v>97</v>
      </c>
      <c r="B27" s="90" t="s">
        <v>98</v>
      </c>
      <c r="C27" s="39" t="s">
        <v>41</v>
      </c>
      <c r="D27" s="33" t="s">
        <v>49</v>
      </c>
      <c r="E27" s="4" t="s">
        <v>95</v>
      </c>
      <c r="F27" s="4">
        <v>2</v>
      </c>
      <c r="G27" s="23">
        <v>1</v>
      </c>
      <c r="H27" s="10" t="s">
        <v>96</v>
      </c>
      <c r="I27" s="24" t="str">
        <f t="shared" si="1"/>
        <v>S3.020.316</v>
      </c>
      <c r="J27" s="33"/>
      <c r="K27" s="4"/>
      <c r="L27" s="4"/>
      <c r="M27" s="16">
        <v>1</v>
      </c>
      <c r="N27" s="5">
        <v>1</v>
      </c>
      <c r="O27" s="5"/>
      <c r="P27" s="5">
        <v>0</v>
      </c>
      <c r="Q27" s="5">
        <v>1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6">
        <v>0</v>
      </c>
      <c r="AE27" s="20">
        <v>25</v>
      </c>
      <c r="AF27" s="142"/>
    </row>
    <row r="28" spans="1:32" ht="15" customHeight="1">
      <c r="A28" s="47" t="s">
        <v>99</v>
      </c>
      <c r="B28" s="90" t="s">
        <v>100</v>
      </c>
      <c r="C28" s="40" t="s">
        <v>41</v>
      </c>
      <c r="D28" s="31" t="s">
        <v>49</v>
      </c>
      <c r="E28" s="4" t="s">
        <v>95</v>
      </c>
      <c r="F28" s="4">
        <v>1</v>
      </c>
      <c r="G28" s="4">
        <v>1</v>
      </c>
      <c r="H28" s="10" t="s">
        <v>96</v>
      </c>
      <c r="I28" s="24" t="str">
        <f t="shared" si="1"/>
        <v>S3.020.342</v>
      </c>
      <c r="J28" s="31"/>
      <c r="K28" s="4"/>
      <c r="L28" s="4"/>
      <c r="M28" s="16">
        <v>1</v>
      </c>
      <c r="N28" s="5">
        <v>1</v>
      </c>
      <c r="O28" s="5"/>
      <c r="P28" s="5">
        <v>0</v>
      </c>
      <c r="Q28" s="5">
        <v>1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6">
        <v>0</v>
      </c>
      <c r="AE28" s="20">
        <v>26</v>
      </c>
      <c r="AF28" s="142"/>
    </row>
    <row r="29" spans="1:32" ht="15" customHeight="1">
      <c r="A29" s="47" t="s">
        <v>101</v>
      </c>
      <c r="B29" s="90" t="s">
        <v>102</v>
      </c>
      <c r="C29" s="39" t="s">
        <v>41</v>
      </c>
      <c r="D29" s="33" t="s">
        <v>49</v>
      </c>
      <c r="E29" s="4" t="s">
        <v>95</v>
      </c>
      <c r="F29" s="4">
        <v>1</v>
      </c>
      <c r="G29" s="23">
        <v>1</v>
      </c>
      <c r="H29" s="10" t="s">
        <v>96</v>
      </c>
      <c r="I29" s="24" t="str">
        <f t="shared" si="1"/>
        <v>S3.020.343</v>
      </c>
      <c r="J29" s="33"/>
      <c r="K29" s="4"/>
      <c r="L29" s="4"/>
      <c r="M29" s="16">
        <v>1</v>
      </c>
      <c r="N29" s="5">
        <v>1</v>
      </c>
      <c r="O29" s="5"/>
      <c r="P29" s="5">
        <v>0</v>
      </c>
      <c r="Q29" s="5">
        <v>1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1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6">
        <v>0</v>
      </c>
      <c r="AE29" s="53">
        <v>27</v>
      </c>
      <c r="AF29" s="142"/>
    </row>
    <row r="30" spans="1:32" ht="15" customHeight="1">
      <c r="A30" s="47" t="s">
        <v>103</v>
      </c>
      <c r="B30" s="90" t="s">
        <v>104</v>
      </c>
      <c r="C30" s="40" t="s">
        <v>41</v>
      </c>
      <c r="D30" s="34" t="s">
        <v>49</v>
      </c>
      <c r="E30" s="4" t="s">
        <v>95</v>
      </c>
      <c r="F30" s="4">
        <v>1</v>
      </c>
      <c r="G30" s="4">
        <v>1</v>
      </c>
      <c r="H30" s="10" t="s">
        <v>96</v>
      </c>
      <c r="I30" s="24" t="str">
        <f t="shared" si="1"/>
        <v>S3.020.345</v>
      </c>
      <c r="J30" s="34"/>
      <c r="K30" s="4"/>
      <c r="L30" s="4"/>
      <c r="M30" s="16">
        <v>1</v>
      </c>
      <c r="N30" s="5">
        <v>4</v>
      </c>
      <c r="O30" s="5"/>
      <c r="P30" s="5">
        <v>0</v>
      </c>
      <c r="Q30" s="5">
        <v>4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4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6">
        <v>0</v>
      </c>
      <c r="AE30" s="53">
        <v>28</v>
      </c>
      <c r="AF30" s="142"/>
    </row>
    <row r="31" spans="1:32" ht="15">
      <c r="A31" s="47" t="s">
        <v>105</v>
      </c>
      <c r="B31" s="4" t="s">
        <v>106</v>
      </c>
      <c r="C31" s="39" t="s">
        <v>41</v>
      </c>
      <c r="D31" s="33" t="s">
        <v>49</v>
      </c>
      <c r="E31" s="4" t="s">
        <v>107</v>
      </c>
      <c r="F31" s="4">
        <v>2</v>
      </c>
      <c r="G31" s="23">
        <v>1</v>
      </c>
      <c r="H31" s="10" t="s">
        <v>108</v>
      </c>
      <c r="I31" s="24" t="str">
        <f t="shared" si="1"/>
        <v>S4.020.403</v>
      </c>
      <c r="J31" s="33"/>
      <c r="K31" s="4"/>
      <c r="L31" s="4"/>
      <c r="M31" s="16">
        <v>1</v>
      </c>
      <c r="N31" s="5">
        <v>1</v>
      </c>
      <c r="O31" s="5"/>
      <c r="P31" s="5">
        <v>0</v>
      </c>
      <c r="Q31" s="5">
        <v>1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1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6">
        <v>0</v>
      </c>
      <c r="AE31" s="53">
        <v>29</v>
      </c>
      <c r="AF31" s="142"/>
    </row>
    <row r="32" spans="1:32" ht="15">
      <c r="A32" s="47" t="s">
        <v>109</v>
      </c>
      <c r="B32" s="4" t="s">
        <v>110</v>
      </c>
      <c r="C32" s="40" t="s">
        <v>41</v>
      </c>
      <c r="D32" s="31" t="s">
        <v>49</v>
      </c>
      <c r="E32" s="4" t="s">
        <v>107</v>
      </c>
      <c r="F32" s="4">
        <v>2</v>
      </c>
      <c r="G32" s="4">
        <v>1</v>
      </c>
      <c r="H32" s="10" t="s">
        <v>108</v>
      </c>
      <c r="I32" s="24" t="str">
        <f t="shared" si="1"/>
        <v>S4.020.416</v>
      </c>
      <c r="J32" s="31"/>
      <c r="K32" s="4"/>
      <c r="L32" s="4"/>
      <c r="M32" s="16">
        <v>1</v>
      </c>
      <c r="N32" s="5">
        <v>1</v>
      </c>
      <c r="O32" s="5"/>
      <c r="P32" s="5">
        <v>0</v>
      </c>
      <c r="Q32" s="5">
        <v>1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6">
        <v>0</v>
      </c>
      <c r="AE32" s="20">
        <v>30</v>
      </c>
      <c r="AF32" s="142"/>
    </row>
    <row r="33" spans="1:32" ht="15">
      <c r="A33" s="47" t="s">
        <v>111</v>
      </c>
      <c r="B33" s="4" t="s">
        <v>112</v>
      </c>
      <c r="C33" s="39" t="s">
        <v>41</v>
      </c>
      <c r="D33" s="33" t="s">
        <v>49</v>
      </c>
      <c r="E33" s="4" t="s">
        <v>107</v>
      </c>
      <c r="F33" s="4">
        <v>1</v>
      </c>
      <c r="G33" s="23">
        <v>1</v>
      </c>
      <c r="H33" s="10" t="s">
        <v>108</v>
      </c>
      <c r="I33" s="24" t="str">
        <f t="shared" si="1"/>
        <v>S4.020.442</v>
      </c>
      <c r="J33" s="33"/>
      <c r="K33" s="4"/>
      <c r="L33" s="4"/>
      <c r="M33" s="16">
        <v>1</v>
      </c>
      <c r="N33" s="5">
        <v>1</v>
      </c>
      <c r="O33" s="5"/>
      <c r="P33" s="5">
        <v>0</v>
      </c>
      <c r="Q33" s="5">
        <v>1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1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6">
        <v>0</v>
      </c>
      <c r="AE33" s="20">
        <v>31</v>
      </c>
      <c r="AF33" s="142"/>
    </row>
    <row r="34" spans="1:32" ht="15">
      <c r="A34" s="47" t="s">
        <v>113</v>
      </c>
      <c r="B34" s="4" t="s">
        <v>114</v>
      </c>
      <c r="C34" s="40" t="s">
        <v>41</v>
      </c>
      <c r="D34" s="34" t="s">
        <v>49</v>
      </c>
      <c r="E34" s="4" t="s">
        <v>107</v>
      </c>
      <c r="F34" s="4">
        <v>1</v>
      </c>
      <c r="G34" s="4">
        <v>1</v>
      </c>
      <c r="H34" s="10" t="s">
        <v>108</v>
      </c>
      <c r="I34" s="24" t="str">
        <f t="shared" si="1"/>
        <v>S4.020.443</v>
      </c>
      <c r="J34" s="34"/>
      <c r="K34" s="4"/>
      <c r="L34" s="4"/>
      <c r="M34" s="16">
        <v>1</v>
      </c>
      <c r="N34" s="5">
        <v>1</v>
      </c>
      <c r="O34" s="5"/>
      <c r="P34" s="5">
        <v>0</v>
      </c>
      <c r="Q34" s="5">
        <v>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6">
        <v>0</v>
      </c>
      <c r="AE34" s="53">
        <v>32</v>
      </c>
      <c r="AF34" s="142"/>
    </row>
    <row r="35" spans="1:32" ht="15">
      <c r="A35" s="47" t="s">
        <v>115</v>
      </c>
      <c r="B35" s="4" t="s">
        <v>116</v>
      </c>
      <c r="C35" s="39" t="s">
        <v>41</v>
      </c>
      <c r="D35" s="33" t="s">
        <v>49</v>
      </c>
      <c r="E35" s="4" t="s">
        <v>107</v>
      </c>
      <c r="F35" s="4">
        <v>1</v>
      </c>
      <c r="G35" s="23">
        <v>1</v>
      </c>
      <c r="H35" s="10" t="s">
        <v>108</v>
      </c>
      <c r="I35" s="24" t="str">
        <f t="shared" si="1"/>
        <v>S4.020.445</v>
      </c>
      <c r="J35" s="33"/>
      <c r="K35" s="4"/>
      <c r="L35" s="4"/>
      <c r="M35" s="16">
        <v>1</v>
      </c>
      <c r="N35" s="5">
        <v>4</v>
      </c>
      <c r="O35" s="5"/>
      <c r="P35" s="5">
        <v>0</v>
      </c>
      <c r="Q35" s="5">
        <v>4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4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6">
        <v>0</v>
      </c>
      <c r="AE35" s="53">
        <v>33</v>
      </c>
      <c r="AF35" s="142"/>
    </row>
    <row r="36" spans="1:32" ht="15">
      <c r="A36" s="47" t="s">
        <v>117</v>
      </c>
      <c r="B36" s="4" t="s">
        <v>118</v>
      </c>
      <c r="C36" s="40" t="s">
        <v>41</v>
      </c>
      <c r="D36" s="31" t="s">
        <v>49</v>
      </c>
      <c r="E36" s="4" t="s">
        <v>119</v>
      </c>
      <c r="F36" s="4">
        <v>2</v>
      </c>
      <c r="G36" s="4">
        <v>1</v>
      </c>
      <c r="H36" s="10" t="s">
        <v>120</v>
      </c>
      <c r="I36" s="24" t="str">
        <f t="shared" si="1"/>
        <v>S5.020.503</v>
      </c>
      <c r="J36" s="31"/>
      <c r="K36" s="4"/>
      <c r="L36" s="4"/>
      <c r="M36" s="16">
        <v>1</v>
      </c>
      <c r="N36" s="5">
        <v>1</v>
      </c>
      <c r="O36" s="5"/>
      <c r="P36" s="5">
        <v>0</v>
      </c>
      <c r="Q36" s="5">
        <v>1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1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6">
        <v>0</v>
      </c>
      <c r="AE36" s="53">
        <v>34</v>
      </c>
      <c r="AF36" s="142"/>
    </row>
    <row r="37" spans="1:32" ht="15">
      <c r="A37" s="47" t="s">
        <v>121</v>
      </c>
      <c r="B37" s="4" t="s">
        <v>122</v>
      </c>
      <c r="C37" s="39" t="s">
        <v>41</v>
      </c>
      <c r="D37" s="33" t="s">
        <v>49</v>
      </c>
      <c r="E37" s="4" t="s">
        <v>119</v>
      </c>
      <c r="F37" s="4">
        <v>2</v>
      </c>
      <c r="G37" s="23">
        <v>1</v>
      </c>
      <c r="H37" s="10" t="s">
        <v>120</v>
      </c>
      <c r="I37" s="24" t="str">
        <f t="shared" si="1"/>
        <v>S5.020.516</v>
      </c>
      <c r="J37" s="33"/>
      <c r="K37" s="4"/>
      <c r="L37" s="4"/>
      <c r="M37" s="16">
        <v>1</v>
      </c>
      <c r="N37" s="5">
        <v>1</v>
      </c>
      <c r="O37" s="5"/>
      <c r="P37" s="5">
        <v>0</v>
      </c>
      <c r="Q37" s="5">
        <v>1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1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6">
        <v>0</v>
      </c>
      <c r="AE37" s="20">
        <v>35</v>
      </c>
      <c r="AF37" s="142"/>
    </row>
    <row r="38" spans="1:32" ht="15">
      <c r="A38" s="47" t="s">
        <v>123</v>
      </c>
      <c r="B38" s="4" t="s">
        <v>124</v>
      </c>
      <c r="C38" s="40" t="s">
        <v>41</v>
      </c>
      <c r="D38" s="34" t="s">
        <v>49</v>
      </c>
      <c r="E38" s="4" t="s">
        <v>119</v>
      </c>
      <c r="F38" s="4">
        <v>1</v>
      </c>
      <c r="G38" s="4">
        <v>1</v>
      </c>
      <c r="H38" s="10" t="s">
        <v>120</v>
      </c>
      <c r="I38" s="24" t="str">
        <f t="shared" si="1"/>
        <v>S5.020.542</v>
      </c>
      <c r="J38" s="34"/>
      <c r="K38" s="4"/>
      <c r="L38" s="4"/>
      <c r="M38" s="16">
        <v>1</v>
      </c>
      <c r="N38" s="5">
        <v>1</v>
      </c>
      <c r="O38" s="5"/>
      <c r="P38" s="5">
        <v>0</v>
      </c>
      <c r="Q38" s="5">
        <v>1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6">
        <v>0</v>
      </c>
      <c r="AE38" s="20">
        <v>36</v>
      </c>
      <c r="AF38" s="142"/>
    </row>
    <row r="39" spans="1:32" ht="15">
      <c r="A39" s="47" t="s">
        <v>125</v>
      </c>
      <c r="B39" s="4" t="s">
        <v>126</v>
      </c>
      <c r="C39" s="39" t="s">
        <v>41</v>
      </c>
      <c r="D39" s="33" t="s">
        <v>49</v>
      </c>
      <c r="E39" s="4" t="s">
        <v>119</v>
      </c>
      <c r="F39" s="4">
        <v>1</v>
      </c>
      <c r="G39" s="23">
        <v>1</v>
      </c>
      <c r="H39" s="10" t="s">
        <v>120</v>
      </c>
      <c r="I39" s="24" t="str">
        <f t="shared" ref="I39:I55" si="2">A39</f>
        <v>S5.020.543</v>
      </c>
      <c r="J39" s="33"/>
      <c r="K39" s="4"/>
      <c r="L39" s="4"/>
      <c r="M39" s="16">
        <v>1</v>
      </c>
      <c r="N39" s="5">
        <v>1</v>
      </c>
      <c r="O39" s="5"/>
      <c r="P39" s="5">
        <v>0</v>
      </c>
      <c r="Q39" s="5">
        <v>1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6">
        <v>0</v>
      </c>
      <c r="AE39" s="53">
        <v>37</v>
      </c>
      <c r="AF39" s="142"/>
    </row>
    <row r="40" spans="1:32" ht="15">
      <c r="A40" s="47" t="s">
        <v>127</v>
      </c>
      <c r="B40" s="4" t="s">
        <v>128</v>
      </c>
      <c r="C40" s="40" t="s">
        <v>41</v>
      </c>
      <c r="D40" s="31" t="s">
        <v>49</v>
      </c>
      <c r="E40" s="4" t="s">
        <v>119</v>
      </c>
      <c r="F40" s="4">
        <v>1</v>
      </c>
      <c r="G40" s="4">
        <v>1</v>
      </c>
      <c r="H40" s="10" t="s">
        <v>120</v>
      </c>
      <c r="I40" s="24" t="str">
        <f t="shared" si="2"/>
        <v>S5.020.545</v>
      </c>
      <c r="J40" s="31"/>
      <c r="K40" s="4"/>
      <c r="L40" s="4"/>
      <c r="M40" s="16">
        <v>1</v>
      </c>
      <c r="N40" s="5">
        <v>4</v>
      </c>
      <c r="O40" s="5"/>
      <c r="P40" s="5">
        <v>0</v>
      </c>
      <c r="Q40" s="5">
        <v>4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4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6">
        <v>0</v>
      </c>
      <c r="AE40" s="53">
        <v>38</v>
      </c>
      <c r="AF40" s="142"/>
    </row>
    <row r="41" spans="1:32" ht="15">
      <c r="A41" s="47" t="s">
        <v>129</v>
      </c>
      <c r="B41" s="4" t="s">
        <v>130</v>
      </c>
      <c r="C41" s="39" t="s">
        <v>41</v>
      </c>
      <c r="D41" s="33" t="s">
        <v>49</v>
      </c>
      <c r="E41" s="4" t="s">
        <v>131</v>
      </c>
      <c r="F41" s="4">
        <v>2</v>
      </c>
      <c r="G41" s="23">
        <v>1</v>
      </c>
      <c r="H41" s="10" t="s">
        <v>132</v>
      </c>
      <c r="I41" s="24" t="str">
        <f t="shared" si="2"/>
        <v>S6.020.603</v>
      </c>
      <c r="J41" s="33"/>
      <c r="K41" s="4"/>
      <c r="L41" s="4"/>
      <c r="M41" s="16">
        <v>1</v>
      </c>
      <c r="N41" s="5">
        <v>1</v>
      </c>
      <c r="O41" s="5"/>
      <c r="P41" s="5">
        <v>0</v>
      </c>
      <c r="Q41" s="5">
        <v>1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6">
        <v>0</v>
      </c>
      <c r="AE41" s="53">
        <v>39</v>
      </c>
      <c r="AF41" s="142"/>
    </row>
    <row r="42" spans="1:32" ht="15">
      <c r="A42" s="47" t="s">
        <v>133</v>
      </c>
      <c r="B42" s="4" t="s">
        <v>134</v>
      </c>
      <c r="C42" s="40" t="s">
        <v>41</v>
      </c>
      <c r="D42" s="34" t="s">
        <v>49</v>
      </c>
      <c r="E42" s="4" t="s">
        <v>131</v>
      </c>
      <c r="F42" s="4">
        <v>2</v>
      </c>
      <c r="G42" s="4">
        <v>1</v>
      </c>
      <c r="H42" s="10" t="s">
        <v>132</v>
      </c>
      <c r="I42" s="24" t="str">
        <f t="shared" si="2"/>
        <v>S6.020.616</v>
      </c>
      <c r="J42" s="34"/>
      <c r="K42" s="4"/>
      <c r="L42" s="4"/>
      <c r="M42" s="16">
        <v>1</v>
      </c>
      <c r="N42" s="5">
        <v>1</v>
      </c>
      <c r="O42" s="5"/>
      <c r="P42" s="5">
        <v>0</v>
      </c>
      <c r="Q42" s="5">
        <v>1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6">
        <v>0</v>
      </c>
      <c r="AE42" s="20">
        <v>40</v>
      </c>
      <c r="AF42" s="142"/>
    </row>
    <row r="43" spans="1:32" ht="15">
      <c r="A43" s="47" t="s">
        <v>135</v>
      </c>
      <c r="B43" s="4" t="s">
        <v>136</v>
      </c>
      <c r="C43" s="39" t="s">
        <v>41</v>
      </c>
      <c r="D43" s="33" t="s">
        <v>49</v>
      </c>
      <c r="E43" s="4" t="s">
        <v>131</v>
      </c>
      <c r="F43" s="4">
        <v>1</v>
      </c>
      <c r="G43" s="23">
        <v>1</v>
      </c>
      <c r="H43" s="10" t="s">
        <v>132</v>
      </c>
      <c r="I43" s="24" t="str">
        <f t="shared" si="2"/>
        <v>S6.020.642</v>
      </c>
      <c r="J43" s="33"/>
      <c r="K43" s="4"/>
      <c r="L43" s="4"/>
      <c r="M43" s="16">
        <v>1</v>
      </c>
      <c r="N43" s="5">
        <v>1</v>
      </c>
      <c r="O43" s="5"/>
      <c r="P43" s="5">
        <v>0</v>
      </c>
      <c r="Q43" s="5">
        <v>1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6">
        <v>0</v>
      </c>
      <c r="AE43" s="20">
        <v>41</v>
      </c>
      <c r="AF43" s="142"/>
    </row>
    <row r="44" spans="1:32" ht="15">
      <c r="A44" s="47" t="s">
        <v>137</v>
      </c>
      <c r="B44" s="4" t="s">
        <v>138</v>
      </c>
      <c r="C44" s="40" t="s">
        <v>41</v>
      </c>
      <c r="D44" s="31" t="s">
        <v>49</v>
      </c>
      <c r="E44" s="4" t="s">
        <v>131</v>
      </c>
      <c r="F44" s="4">
        <v>1</v>
      </c>
      <c r="G44" s="4">
        <v>1</v>
      </c>
      <c r="H44" s="10" t="s">
        <v>132</v>
      </c>
      <c r="I44" s="24" t="str">
        <f t="shared" si="2"/>
        <v>S6.020.643</v>
      </c>
      <c r="J44" s="31"/>
      <c r="K44" s="4"/>
      <c r="L44" s="4"/>
      <c r="M44" s="16">
        <v>1</v>
      </c>
      <c r="N44" s="5">
        <v>1</v>
      </c>
      <c r="O44" s="5"/>
      <c r="P44" s="5">
        <v>0</v>
      </c>
      <c r="Q44" s="5">
        <v>1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6">
        <v>0</v>
      </c>
      <c r="AE44" s="53">
        <v>42</v>
      </c>
      <c r="AF44" s="142"/>
    </row>
    <row r="45" spans="1:32" ht="15">
      <c r="A45" s="47" t="s">
        <v>139</v>
      </c>
      <c r="B45" s="4" t="s">
        <v>140</v>
      </c>
      <c r="C45" s="39" t="s">
        <v>41</v>
      </c>
      <c r="D45" s="33" t="s">
        <v>49</v>
      </c>
      <c r="E45" s="4" t="s">
        <v>131</v>
      </c>
      <c r="F45" s="4">
        <v>1</v>
      </c>
      <c r="G45" s="23">
        <v>1</v>
      </c>
      <c r="H45" s="10" t="s">
        <v>132</v>
      </c>
      <c r="I45" s="24" t="str">
        <f t="shared" si="2"/>
        <v>S6.020.645</v>
      </c>
      <c r="J45" s="33"/>
      <c r="K45" s="4"/>
      <c r="L45" s="4"/>
      <c r="M45" s="16">
        <v>1</v>
      </c>
      <c r="N45" s="5">
        <v>4</v>
      </c>
      <c r="O45" s="5"/>
      <c r="P45" s="5">
        <v>0</v>
      </c>
      <c r="Q45" s="5">
        <v>4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4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6">
        <v>0</v>
      </c>
      <c r="AE45" s="53">
        <v>43</v>
      </c>
      <c r="AF45" s="142"/>
    </row>
    <row r="46" spans="1:32" ht="15">
      <c r="A46" s="47" t="s">
        <v>141</v>
      </c>
      <c r="B46" s="4" t="s">
        <v>142</v>
      </c>
      <c r="C46" s="40" t="s">
        <v>41</v>
      </c>
      <c r="D46" s="34" t="s">
        <v>49</v>
      </c>
      <c r="E46" s="4" t="s">
        <v>143</v>
      </c>
      <c r="F46" s="4">
        <v>2</v>
      </c>
      <c r="G46" s="4">
        <v>1</v>
      </c>
      <c r="H46" s="10" t="s">
        <v>144</v>
      </c>
      <c r="I46" s="24" t="str">
        <f t="shared" si="2"/>
        <v>S7.020.703</v>
      </c>
      <c r="J46" s="34"/>
      <c r="K46" s="4"/>
      <c r="L46" s="4"/>
      <c r="M46" s="16">
        <v>1</v>
      </c>
      <c r="N46" s="5">
        <v>1</v>
      </c>
      <c r="O46" s="5"/>
      <c r="P46" s="5">
        <v>0</v>
      </c>
      <c r="Q46" s="5">
        <v>1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6">
        <v>0</v>
      </c>
      <c r="AE46" s="53">
        <v>44</v>
      </c>
      <c r="AF46" s="142"/>
    </row>
    <row r="47" spans="1:32" ht="15" customHeight="1">
      <c r="A47" s="47" t="s">
        <v>145</v>
      </c>
      <c r="B47" s="4" t="s">
        <v>146</v>
      </c>
      <c r="C47" s="39" t="s">
        <v>41</v>
      </c>
      <c r="D47" s="33" t="s">
        <v>49</v>
      </c>
      <c r="E47" s="4" t="s">
        <v>143</v>
      </c>
      <c r="F47" s="4">
        <v>2</v>
      </c>
      <c r="G47" s="23">
        <v>1</v>
      </c>
      <c r="H47" s="10" t="s">
        <v>144</v>
      </c>
      <c r="I47" s="24" t="str">
        <f t="shared" si="2"/>
        <v>S7.020.716</v>
      </c>
      <c r="J47" s="33"/>
      <c r="K47" s="4"/>
      <c r="L47" s="4"/>
      <c r="M47" s="16">
        <v>1</v>
      </c>
      <c r="N47" s="5">
        <v>1</v>
      </c>
      <c r="O47" s="5"/>
      <c r="P47" s="5">
        <v>0</v>
      </c>
      <c r="Q47" s="5">
        <v>1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1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6">
        <v>0</v>
      </c>
      <c r="AE47" s="20">
        <v>45</v>
      </c>
      <c r="AF47" s="142"/>
    </row>
    <row r="48" spans="1:32" ht="15">
      <c r="A48" s="47" t="s">
        <v>147</v>
      </c>
      <c r="B48" s="4" t="s">
        <v>148</v>
      </c>
      <c r="C48" s="40" t="s">
        <v>41</v>
      </c>
      <c r="D48" s="31" t="s">
        <v>49</v>
      </c>
      <c r="E48" s="4" t="s">
        <v>143</v>
      </c>
      <c r="F48" s="4">
        <v>1</v>
      </c>
      <c r="G48" s="4">
        <v>1</v>
      </c>
      <c r="H48" s="10" t="s">
        <v>144</v>
      </c>
      <c r="I48" s="24" t="str">
        <f t="shared" si="2"/>
        <v>S7.020.742</v>
      </c>
      <c r="J48" s="31"/>
      <c r="K48" s="4"/>
      <c r="L48" s="4"/>
      <c r="M48" s="16">
        <v>1</v>
      </c>
      <c r="N48" s="5">
        <v>1</v>
      </c>
      <c r="O48" s="5"/>
      <c r="P48" s="5">
        <v>0</v>
      </c>
      <c r="Q48" s="5">
        <v>1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6">
        <v>0</v>
      </c>
      <c r="AE48" s="20">
        <v>46</v>
      </c>
      <c r="AF48" s="142"/>
    </row>
    <row r="49" spans="1:32" ht="15">
      <c r="A49" s="47" t="s">
        <v>149</v>
      </c>
      <c r="B49" s="4" t="s">
        <v>150</v>
      </c>
      <c r="C49" s="39" t="s">
        <v>41</v>
      </c>
      <c r="D49" s="33" t="s">
        <v>49</v>
      </c>
      <c r="E49" s="4" t="s">
        <v>143</v>
      </c>
      <c r="F49" s="4">
        <v>1</v>
      </c>
      <c r="G49" s="23">
        <v>1</v>
      </c>
      <c r="H49" s="10" t="s">
        <v>144</v>
      </c>
      <c r="I49" s="24" t="str">
        <f t="shared" si="2"/>
        <v>S7.020.743</v>
      </c>
      <c r="J49" s="33"/>
      <c r="K49" s="4"/>
      <c r="L49" s="4"/>
      <c r="M49" s="16">
        <v>1</v>
      </c>
      <c r="N49" s="5">
        <v>1</v>
      </c>
      <c r="O49" s="5"/>
      <c r="P49" s="5">
        <v>0</v>
      </c>
      <c r="Q49" s="5">
        <v>1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1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6">
        <v>0</v>
      </c>
      <c r="AE49" s="53">
        <v>47</v>
      </c>
      <c r="AF49" s="142"/>
    </row>
    <row r="50" spans="1:32" ht="15">
      <c r="A50" s="47" t="s">
        <v>151</v>
      </c>
      <c r="B50" s="4" t="s">
        <v>152</v>
      </c>
      <c r="C50" s="40" t="s">
        <v>41</v>
      </c>
      <c r="D50" s="34" t="s">
        <v>49</v>
      </c>
      <c r="E50" s="4" t="s">
        <v>143</v>
      </c>
      <c r="F50" s="4">
        <v>1</v>
      </c>
      <c r="G50" s="4">
        <v>1</v>
      </c>
      <c r="H50" s="10" t="s">
        <v>144</v>
      </c>
      <c r="I50" s="24" t="str">
        <f t="shared" si="2"/>
        <v>S7.020.745</v>
      </c>
      <c r="J50" s="34"/>
      <c r="K50" s="4"/>
      <c r="L50" s="4"/>
      <c r="M50" s="16">
        <v>1</v>
      </c>
      <c r="N50" s="5">
        <v>4</v>
      </c>
      <c r="O50" s="5"/>
      <c r="P50" s="5">
        <v>0</v>
      </c>
      <c r="Q50" s="5">
        <v>4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4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6">
        <v>0</v>
      </c>
      <c r="AE50" s="53">
        <v>48</v>
      </c>
      <c r="AF50" s="142"/>
    </row>
    <row r="51" spans="1:32" ht="15">
      <c r="A51" s="47" t="s">
        <v>153</v>
      </c>
      <c r="B51" s="4" t="s">
        <v>154</v>
      </c>
      <c r="C51" s="39" t="s">
        <v>41</v>
      </c>
      <c r="D51" s="33" t="s">
        <v>49</v>
      </c>
      <c r="E51" s="4" t="s">
        <v>155</v>
      </c>
      <c r="F51" s="4">
        <v>2</v>
      </c>
      <c r="G51" s="23">
        <v>1</v>
      </c>
      <c r="H51" s="10" t="s">
        <v>156</v>
      </c>
      <c r="I51" s="24" t="str">
        <f t="shared" si="2"/>
        <v>S8.020.803</v>
      </c>
      <c r="J51" s="33"/>
      <c r="K51" s="4"/>
      <c r="L51" s="4"/>
      <c r="M51" s="16">
        <v>1</v>
      </c>
      <c r="N51" s="5">
        <v>1</v>
      </c>
      <c r="O51" s="5"/>
      <c r="P51" s="5">
        <v>0</v>
      </c>
      <c r="Q51" s="5">
        <v>1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1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6">
        <v>0</v>
      </c>
      <c r="AE51" s="53">
        <v>49</v>
      </c>
      <c r="AF51" s="142"/>
    </row>
    <row r="52" spans="1:32" ht="15">
      <c r="A52" s="47" t="s">
        <v>157</v>
      </c>
      <c r="B52" s="4" t="s">
        <v>158</v>
      </c>
      <c r="C52" s="40" t="s">
        <v>41</v>
      </c>
      <c r="D52" s="31" t="s">
        <v>49</v>
      </c>
      <c r="E52" s="4" t="s">
        <v>155</v>
      </c>
      <c r="F52" s="4">
        <v>2</v>
      </c>
      <c r="G52" s="4">
        <v>1</v>
      </c>
      <c r="H52" s="10" t="s">
        <v>156</v>
      </c>
      <c r="I52" s="24" t="str">
        <f t="shared" si="2"/>
        <v>S8.020.816</v>
      </c>
      <c r="J52" s="31"/>
      <c r="K52" s="4"/>
      <c r="L52" s="4"/>
      <c r="M52" s="16">
        <v>1</v>
      </c>
      <c r="N52" s="5">
        <v>1</v>
      </c>
      <c r="O52" s="5"/>
      <c r="P52" s="5">
        <v>0</v>
      </c>
      <c r="Q52" s="5">
        <v>1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1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6">
        <v>0</v>
      </c>
      <c r="AE52" s="20">
        <v>50</v>
      </c>
      <c r="AF52" s="142"/>
    </row>
    <row r="53" spans="1:32" ht="15">
      <c r="A53" s="47" t="s">
        <v>159</v>
      </c>
      <c r="B53" s="4" t="s">
        <v>160</v>
      </c>
      <c r="C53" s="39" t="s">
        <v>41</v>
      </c>
      <c r="D53" s="33" t="s">
        <v>49</v>
      </c>
      <c r="E53" s="4" t="s">
        <v>155</v>
      </c>
      <c r="F53" s="4">
        <v>1</v>
      </c>
      <c r="G53" s="23">
        <v>1</v>
      </c>
      <c r="H53" s="10" t="s">
        <v>156</v>
      </c>
      <c r="I53" s="24" t="str">
        <f t="shared" si="2"/>
        <v>S8.020.842</v>
      </c>
      <c r="J53" s="33"/>
      <c r="K53" s="4"/>
      <c r="L53" s="4"/>
      <c r="M53" s="16">
        <v>1</v>
      </c>
      <c r="N53" s="5">
        <v>1</v>
      </c>
      <c r="O53" s="5"/>
      <c r="P53" s="5">
        <v>0</v>
      </c>
      <c r="Q53" s="5">
        <v>1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1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6">
        <v>0</v>
      </c>
      <c r="AE53" s="20">
        <v>51</v>
      </c>
      <c r="AF53" s="142"/>
    </row>
    <row r="54" spans="1:32" ht="15">
      <c r="A54" s="47" t="s">
        <v>161</v>
      </c>
      <c r="B54" s="4" t="s">
        <v>162</v>
      </c>
      <c r="C54" s="40" t="s">
        <v>41</v>
      </c>
      <c r="D54" s="34" t="s">
        <v>49</v>
      </c>
      <c r="E54" s="4" t="s">
        <v>155</v>
      </c>
      <c r="F54" s="4">
        <v>1</v>
      </c>
      <c r="G54" s="4">
        <v>1</v>
      </c>
      <c r="H54" s="10" t="s">
        <v>156</v>
      </c>
      <c r="I54" s="24" t="str">
        <f t="shared" si="2"/>
        <v>S8.020.843</v>
      </c>
      <c r="J54" s="34"/>
      <c r="K54" s="4"/>
      <c r="L54" s="4"/>
      <c r="M54" s="16">
        <v>1</v>
      </c>
      <c r="N54" s="5">
        <v>1</v>
      </c>
      <c r="O54" s="5"/>
      <c r="P54" s="5">
        <v>0</v>
      </c>
      <c r="Q54" s="5">
        <v>1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1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6">
        <v>0</v>
      </c>
      <c r="AE54" s="53">
        <v>52</v>
      </c>
      <c r="AF54" s="142"/>
    </row>
    <row r="55" spans="1:32" ht="15" customHeight="1">
      <c r="A55" s="47" t="s">
        <v>163</v>
      </c>
      <c r="B55" s="4" t="s">
        <v>164</v>
      </c>
      <c r="C55" s="39" t="s">
        <v>41</v>
      </c>
      <c r="D55" s="33" t="s">
        <v>49</v>
      </c>
      <c r="E55" s="4" t="s">
        <v>155</v>
      </c>
      <c r="F55" s="4">
        <v>1</v>
      </c>
      <c r="G55" s="23">
        <v>1</v>
      </c>
      <c r="H55" s="10" t="s">
        <v>156</v>
      </c>
      <c r="I55" s="24" t="str">
        <f t="shared" si="2"/>
        <v>S8.020.845</v>
      </c>
      <c r="J55" s="33"/>
      <c r="K55" s="4"/>
      <c r="L55" s="4"/>
      <c r="M55" s="16">
        <v>1</v>
      </c>
      <c r="N55" s="5">
        <v>4</v>
      </c>
      <c r="O55" s="5"/>
      <c r="P55" s="5">
        <v>0</v>
      </c>
      <c r="Q55" s="5">
        <v>4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4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6">
        <v>0</v>
      </c>
      <c r="AE55" s="53">
        <v>53</v>
      </c>
      <c r="AF55" s="142"/>
    </row>
    <row r="56" spans="1:32" ht="15.75" customHeight="1">
      <c r="A56" s="153" t="s">
        <v>165</v>
      </c>
      <c r="B56" s="162"/>
      <c r="C56" s="166"/>
      <c r="D56" s="171"/>
      <c r="E56" s="162"/>
      <c r="F56" s="162"/>
      <c r="G56" s="162"/>
      <c r="H56" s="199"/>
      <c r="I56" s="19"/>
      <c r="J56" s="171"/>
      <c r="K56" s="19"/>
      <c r="L56" s="19"/>
      <c r="M56" s="182">
        <f>SUM(M57:M223)</f>
        <v>167</v>
      </c>
      <c r="N56" s="186">
        <f>SUM(N57:N223)</f>
        <v>217</v>
      </c>
      <c r="O56" s="186"/>
      <c r="P56" s="186">
        <f t="shared" ref="P56:AD56" si="3">SUM(P57:P223)</f>
        <v>0</v>
      </c>
      <c r="Q56" s="91">
        <f t="shared" si="3"/>
        <v>217</v>
      </c>
      <c r="R56" s="186">
        <f t="shared" si="3"/>
        <v>0</v>
      </c>
      <c r="S56" s="186">
        <f t="shared" si="3"/>
        <v>0</v>
      </c>
      <c r="T56" s="186">
        <f t="shared" si="3"/>
        <v>0</v>
      </c>
      <c r="U56" s="186">
        <f t="shared" si="3"/>
        <v>0</v>
      </c>
      <c r="V56" s="186">
        <f t="shared" si="3"/>
        <v>0</v>
      </c>
      <c r="W56" s="186">
        <f t="shared" si="3"/>
        <v>0</v>
      </c>
      <c r="X56" s="186">
        <f t="shared" si="3"/>
        <v>209</v>
      </c>
      <c r="Y56" s="186">
        <f t="shared" si="3"/>
        <v>0</v>
      </c>
      <c r="Z56" s="186">
        <f t="shared" si="3"/>
        <v>0</v>
      </c>
      <c r="AA56" s="186">
        <f t="shared" si="3"/>
        <v>226</v>
      </c>
      <c r="AB56" s="186">
        <f t="shared" si="3"/>
        <v>5</v>
      </c>
      <c r="AC56" s="186">
        <f t="shared" si="3"/>
        <v>0</v>
      </c>
      <c r="AD56" s="195">
        <f t="shared" si="3"/>
        <v>0</v>
      </c>
      <c r="AE56" s="53">
        <v>54</v>
      </c>
      <c r="AF56" s="142"/>
    </row>
    <row r="57" spans="1:32" ht="15.75" customHeight="1">
      <c r="A57" s="46" t="s">
        <v>166</v>
      </c>
      <c r="B57" s="10" t="s">
        <v>167</v>
      </c>
      <c r="C57" s="38" t="s">
        <v>41</v>
      </c>
      <c r="D57" s="31" t="s">
        <v>168</v>
      </c>
      <c r="E57" s="10" t="s">
        <v>43</v>
      </c>
      <c r="F57" s="10">
        <v>3</v>
      </c>
      <c r="G57" s="10">
        <v>1</v>
      </c>
      <c r="H57" s="10" t="s">
        <v>44</v>
      </c>
      <c r="I57" s="24" t="str">
        <f>A57</f>
        <v>A1.020.009</v>
      </c>
      <c r="J57" s="31"/>
      <c r="K57" s="4"/>
      <c r="L57" s="4"/>
      <c r="M57" s="15">
        <v>1</v>
      </c>
      <c r="N57" s="11">
        <v>1</v>
      </c>
      <c r="O57" s="11"/>
      <c r="P57" s="11">
        <v>0</v>
      </c>
      <c r="Q57" s="5">
        <v>1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1</v>
      </c>
      <c r="Y57" s="11">
        <v>0</v>
      </c>
      <c r="Z57" s="11">
        <v>0</v>
      </c>
      <c r="AA57" s="11">
        <v>1</v>
      </c>
      <c r="AB57" s="11">
        <v>0</v>
      </c>
      <c r="AC57" s="11">
        <v>0</v>
      </c>
      <c r="AD57" s="55">
        <v>0</v>
      </c>
      <c r="AE57" s="20">
        <v>55</v>
      </c>
      <c r="AF57" s="142"/>
    </row>
    <row r="58" spans="1:32" ht="17.850000000000001" customHeight="1">
      <c r="A58" s="154" t="s">
        <v>169</v>
      </c>
      <c r="B58" s="110" t="s">
        <v>170</v>
      </c>
      <c r="C58" s="41" t="s">
        <v>41</v>
      </c>
      <c r="D58" s="35" t="s">
        <v>168</v>
      </c>
      <c r="E58" s="10" t="s">
        <v>43</v>
      </c>
      <c r="F58" s="110">
        <v>2</v>
      </c>
      <c r="G58" s="110">
        <v>1</v>
      </c>
      <c r="H58" s="110"/>
      <c r="I58" s="29" t="s">
        <v>171</v>
      </c>
      <c r="J58" s="35"/>
      <c r="K58" s="20"/>
      <c r="L58" s="20"/>
      <c r="M58" s="183">
        <v>1</v>
      </c>
      <c r="N58" s="104">
        <v>1</v>
      </c>
      <c r="O58" s="104"/>
      <c r="P58" s="104">
        <v>0</v>
      </c>
      <c r="Q58" s="53">
        <v>1</v>
      </c>
      <c r="R58" s="104">
        <v>0</v>
      </c>
      <c r="S58" s="104">
        <v>0</v>
      </c>
      <c r="T58" s="104">
        <v>0</v>
      </c>
      <c r="U58" s="104">
        <v>0</v>
      </c>
      <c r="V58" s="104">
        <v>0</v>
      </c>
      <c r="W58" s="104">
        <v>0</v>
      </c>
      <c r="X58" s="104">
        <v>2</v>
      </c>
      <c r="Y58" s="104">
        <v>0</v>
      </c>
      <c r="Z58" s="104">
        <v>0</v>
      </c>
      <c r="AA58" s="104">
        <v>1</v>
      </c>
      <c r="AB58" s="104">
        <v>0</v>
      </c>
      <c r="AC58" s="104">
        <v>0</v>
      </c>
      <c r="AD58" s="196">
        <v>0</v>
      </c>
      <c r="AE58" s="20">
        <v>56</v>
      </c>
      <c r="AF58" s="143"/>
    </row>
    <row r="59" spans="1:32" ht="15" customHeight="1">
      <c r="A59" s="47" t="s">
        <v>172</v>
      </c>
      <c r="B59" s="4" t="s">
        <v>173</v>
      </c>
      <c r="C59" s="41" t="s">
        <v>41</v>
      </c>
      <c r="D59" s="31" t="s">
        <v>168</v>
      </c>
      <c r="E59" s="10" t="s">
        <v>43</v>
      </c>
      <c r="F59" s="4">
        <v>1</v>
      </c>
      <c r="G59" s="4">
        <v>1</v>
      </c>
      <c r="H59" s="10" t="s">
        <v>44</v>
      </c>
      <c r="I59" s="24" t="str">
        <f t="shared" ref="I59:I79" si="4">A59</f>
        <v>A1.020.020</v>
      </c>
      <c r="J59" s="31"/>
      <c r="K59" s="4"/>
      <c r="L59" s="4"/>
      <c r="M59" s="16">
        <v>1</v>
      </c>
      <c r="N59" s="5">
        <v>1</v>
      </c>
      <c r="O59" s="5"/>
      <c r="P59" s="5">
        <v>0</v>
      </c>
      <c r="Q59" s="53">
        <v>1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1</v>
      </c>
      <c r="Y59" s="5">
        <v>0</v>
      </c>
      <c r="Z59" s="5">
        <v>0</v>
      </c>
      <c r="AA59" s="5">
        <v>5</v>
      </c>
      <c r="AB59" s="5">
        <v>0</v>
      </c>
      <c r="AC59" s="5">
        <v>0</v>
      </c>
      <c r="AD59" s="56">
        <v>0</v>
      </c>
      <c r="AE59" s="53">
        <v>57</v>
      </c>
      <c r="AF59" s="142"/>
    </row>
    <row r="60" spans="1:32" ht="15" customHeight="1">
      <c r="A60" s="47" t="s">
        <v>174</v>
      </c>
      <c r="B60" s="4" t="s">
        <v>175</v>
      </c>
      <c r="C60" s="41" t="s">
        <v>41</v>
      </c>
      <c r="D60" s="35" t="s">
        <v>168</v>
      </c>
      <c r="E60" s="10" t="s">
        <v>43</v>
      </c>
      <c r="F60" s="4">
        <v>1</v>
      </c>
      <c r="G60" s="4">
        <v>1</v>
      </c>
      <c r="H60" s="10" t="s">
        <v>44</v>
      </c>
      <c r="I60" s="24" t="str">
        <f t="shared" si="4"/>
        <v>A1.020.022</v>
      </c>
      <c r="J60" s="35"/>
      <c r="K60" s="4"/>
      <c r="L60" s="4"/>
      <c r="M60" s="16">
        <v>1</v>
      </c>
      <c r="N60" s="5">
        <v>2</v>
      </c>
      <c r="O60" s="5"/>
      <c r="P60" s="5">
        <v>0</v>
      </c>
      <c r="Q60" s="5">
        <v>2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2</v>
      </c>
      <c r="Y60" s="5">
        <v>0</v>
      </c>
      <c r="Z60" s="5">
        <v>0</v>
      </c>
      <c r="AA60" s="5">
        <v>2</v>
      </c>
      <c r="AB60" s="5">
        <v>0</v>
      </c>
      <c r="AC60" s="5">
        <v>0</v>
      </c>
      <c r="AD60" s="56">
        <v>0</v>
      </c>
      <c r="AE60" s="53">
        <v>58</v>
      </c>
      <c r="AF60" s="142"/>
    </row>
    <row r="61" spans="1:32" ht="15" customHeight="1">
      <c r="A61" s="47" t="s">
        <v>176</v>
      </c>
      <c r="B61" s="4" t="s">
        <v>177</v>
      </c>
      <c r="C61" s="41" t="s">
        <v>41</v>
      </c>
      <c r="D61" s="31" t="s">
        <v>168</v>
      </c>
      <c r="E61" s="10" t="s">
        <v>43</v>
      </c>
      <c r="F61" s="4">
        <v>2</v>
      </c>
      <c r="G61" s="4">
        <v>1</v>
      </c>
      <c r="H61" s="10" t="s">
        <v>44</v>
      </c>
      <c r="I61" s="24" t="str">
        <f t="shared" si="4"/>
        <v>A1.020.023</v>
      </c>
      <c r="J61" s="31"/>
      <c r="K61" s="4"/>
      <c r="L61" s="4"/>
      <c r="M61" s="16">
        <v>1</v>
      </c>
      <c r="N61" s="103">
        <v>2</v>
      </c>
      <c r="O61" s="103"/>
      <c r="P61" s="5">
        <v>0</v>
      </c>
      <c r="Q61" s="5">
        <v>2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2</v>
      </c>
      <c r="Y61" s="5">
        <v>0</v>
      </c>
      <c r="Z61" s="5">
        <v>0</v>
      </c>
      <c r="AA61" s="5">
        <v>2</v>
      </c>
      <c r="AB61" s="5">
        <v>0</v>
      </c>
      <c r="AC61" s="5">
        <v>0</v>
      </c>
      <c r="AD61" s="56">
        <v>0</v>
      </c>
      <c r="AE61" s="53">
        <v>59</v>
      </c>
      <c r="AF61" s="142"/>
    </row>
    <row r="62" spans="1:32" ht="15">
      <c r="A62" s="47" t="s">
        <v>178</v>
      </c>
      <c r="B62" s="4" t="s">
        <v>179</v>
      </c>
      <c r="C62" s="41" t="s">
        <v>41</v>
      </c>
      <c r="D62" s="35" t="s">
        <v>168</v>
      </c>
      <c r="E62" s="10" t="s">
        <v>43</v>
      </c>
      <c r="F62" s="4">
        <v>2</v>
      </c>
      <c r="G62" s="4">
        <v>1</v>
      </c>
      <c r="H62" s="10" t="s">
        <v>44</v>
      </c>
      <c r="I62" s="24" t="str">
        <f t="shared" si="4"/>
        <v>A1.020.024</v>
      </c>
      <c r="J62" s="35"/>
      <c r="K62" s="4"/>
      <c r="L62" s="4"/>
      <c r="M62" s="16">
        <v>1</v>
      </c>
      <c r="N62" s="5">
        <v>2</v>
      </c>
      <c r="O62" s="5"/>
      <c r="P62" s="5">
        <v>0</v>
      </c>
      <c r="Q62" s="5">
        <v>2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2</v>
      </c>
      <c r="Y62" s="5">
        <v>0</v>
      </c>
      <c r="Z62" s="5">
        <v>0</v>
      </c>
      <c r="AA62" s="5">
        <v>1</v>
      </c>
      <c r="AB62" s="5">
        <v>2</v>
      </c>
      <c r="AC62" s="5">
        <v>0</v>
      </c>
      <c r="AD62" s="56">
        <v>0</v>
      </c>
      <c r="AE62" s="20">
        <v>60</v>
      </c>
      <c r="AF62" s="142"/>
    </row>
    <row r="63" spans="1:32" ht="15">
      <c r="A63" s="47" t="s">
        <v>180</v>
      </c>
      <c r="B63" s="4" t="s">
        <v>181</v>
      </c>
      <c r="C63" s="41" t="s">
        <v>41</v>
      </c>
      <c r="D63" s="31" t="s">
        <v>168</v>
      </c>
      <c r="E63" s="10" t="s">
        <v>43</v>
      </c>
      <c r="F63" s="4">
        <v>1</v>
      </c>
      <c r="G63" s="4">
        <v>1</v>
      </c>
      <c r="H63" s="10" t="s">
        <v>44</v>
      </c>
      <c r="I63" s="24" t="str">
        <f t="shared" si="4"/>
        <v>A1.020.025</v>
      </c>
      <c r="J63" s="31"/>
      <c r="K63" s="4"/>
      <c r="L63" s="4"/>
      <c r="M63" s="16">
        <v>1</v>
      </c>
      <c r="N63" s="5">
        <v>2</v>
      </c>
      <c r="O63" s="5"/>
      <c r="P63" s="5">
        <v>0</v>
      </c>
      <c r="Q63" s="5">
        <v>2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1</v>
      </c>
      <c r="Y63" s="5">
        <v>0</v>
      </c>
      <c r="Z63" s="5">
        <v>0</v>
      </c>
      <c r="AA63" s="5">
        <v>2</v>
      </c>
      <c r="AB63" s="5">
        <v>0</v>
      </c>
      <c r="AC63" s="5">
        <v>0</v>
      </c>
      <c r="AD63" s="56">
        <v>0</v>
      </c>
      <c r="AE63" s="20">
        <v>61</v>
      </c>
      <c r="AF63" s="142"/>
    </row>
    <row r="64" spans="1:32" ht="15">
      <c r="A64" s="47" t="s">
        <v>182</v>
      </c>
      <c r="B64" s="4" t="s">
        <v>183</v>
      </c>
      <c r="C64" s="41" t="s">
        <v>41</v>
      </c>
      <c r="D64" s="35" t="s">
        <v>168</v>
      </c>
      <c r="E64" s="10" t="s">
        <v>43</v>
      </c>
      <c r="F64" s="4">
        <v>1</v>
      </c>
      <c r="G64" s="4">
        <v>1</v>
      </c>
      <c r="H64" s="10" t="s">
        <v>184</v>
      </c>
      <c r="I64" s="24" t="str">
        <f t="shared" si="4"/>
        <v>A1.020.051</v>
      </c>
      <c r="J64" s="35"/>
      <c r="K64" s="4"/>
      <c r="L64" s="4"/>
      <c r="M64" s="16">
        <v>1</v>
      </c>
      <c r="N64" s="5">
        <v>1</v>
      </c>
      <c r="O64" s="5"/>
      <c r="P64" s="5">
        <v>0</v>
      </c>
      <c r="Q64" s="53">
        <v>1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1</v>
      </c>
      <c r="Y64" s="5">
        <v>0</v>
      </c>
      <c r="Z64" s="5">
        <v>0</v>
      </c>
      <c r="AA64" s="5">
        <v>1</v>
      </c>
      <c r="AB64" s="5">
        <v>0</v>
      </c>
      <c r="AC64" s="5">
        <v>0</v>
      </c>
      <c r="AD64" s="56">
        <v>0</v>
      </c>
      <c r="AE64" s="53">
        <v>62</v>
      </c>
      <c r="AF64" s="142"/>
    </row>
    <row r="65" spans="1:32" ht="15" customHeight="1">
      <c r="A65" s="47" t="s">
        <v>185</v>
      </c>
      <c r="B65" s="4" t="s">
        <v>186</v>
      </c>
      <c r="C65" s="41" t="s">
        <v>41</v>
      </c>
      <c r="D65" s="31" t="s">
        <v>168</v>
      </c>
      <c r="E65" s="10" t="s">
        <v>43</v>
      </c>
      <c r="F65" s="4">
        <v>3</v>
      </c>
      <c r="G65" s="4">
        <v>1</v>
      </c>
      <c r="H65" s="10" t="s">
        <v>187</v>
      </c>
      <c r="I65" s="24" t="str">
        <f t="shared" si="4"/>
        <v>A1.020.084</v>
      </c>
      <c r="J65" s="31"/>
      <c r="K65" s="4"/>
      <c r="L65" s="4"/>
      <c r="M65" s="16">
        <v>1</v>
      </c>
      <c r="N65" s="5">
        <v>1</v>
      </c>
      <c r="O65" s="5"/>
      <c r="P65" s="5">
        <v>0</v>
      </c>
      <c r="Q65" s="53">
        <v>1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2</v>
      </c>
      <c r="Y65" s="5">
        <v>0</v>
      </c>
      <c r="Z65" s="5">
        <v>0</v>
      </c>
      <c r="AA65" s="5">
        <v>1</v>
      </c>
      <c r="AB65" s="5">
        <v>0</v>
      </c>
      <c r="AC65" s="5">
        <v>0</v>
      </c>
      <c r="AD65" s="56">
        <v>0</v>
      </c>
      <c r="AE65" s="53">
        <v>63</v>
      </c>
      <c r="AF65" s="142"/>
    </row>
    <row r="66" spans="1:32" ht="15">
      <c r="A66" s="47" t="s">
        <v>188</v>
      </c>
      <c r="B66" s="4" t="s">
        <v>189</v>
      </c>
      <c r="C66" s="41" t="s">
        <v>41</v>
      </c>
      <c r="D66" s="35" t="s">
        <v>168</v>
      </c>
      <c r="E66" s="10" t="s">
        <v>43</v>
      </c>
      <c r="F66" s="4">
        <v>3</v>
      </c>
      <c r="G66" s="4">
        <v>1</v>
      </c>
      <c r="H66" s="10" t="s">
        <v>187</v>
      </c>
      <c r="I66" s="24" t="str">
        <f t="shared" si="4"/>
        <v>A1.020.085</v>
      </c>
      <c r="J66" s="35"/>
      <c r="K66" s="4"/>
      <c r="L66" s="4"/>
      <c r="M66" s="16">
        <v>1</v>
      </c>
      <c r="N66" s="5">
        <v>1</v>
      </c>
      <c r="O66" s="5"/>
      <c r="P66" s="5">
        <v>0</v>
      </c>
      <c r="Q66" s="53">
        <v>1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1</v>
      </c>
      <c r="AB66" s="5">
        <v>0</v>
      </c>
      <c r="AC66" s="5">
        <v>0</v>
      </c>
      <c r="AD66" s="56">
        <v>0</v>
      </c>
      <c r="AE66" s="53">
        <v>64</v>
      </c>
      <c r="AF66" s="142"/>
    </row>
    <row r="67" spans="1:32" ht="15">
      <c r="A67" s="47" t="s">
        <v>190</v>
      </c>
      <c r="B67" s="4" t="s">
        <v>191</v>
      </c>
      <c r="C67" s="41" t="s">
        <v>41</v>
      </c>
      <c r="D67" s="31" t="s">
        <v>168</v>
      </c>
      <c r="E67" s="10" t="s">
        <v>43</v>
      </c>
      <c r="F67" s="4">
        <v>3</v>
      </c>
      <c r="G67" s="4">
        <v>1</v>
      </c>
      <c r="H67" s="10" t="s">
        <v>187</v>
      </c>
      <c r="I67" s="24" t="str">
        <f t="shared" si="4"/>
        <v>A1.020.095</v>
      </c>
      <c r="J67" s="31"/>
      <c r="K67" s="4"/>
      <c r="L67" s="4"/>
      <c r="M67" s="16">
        <v>1</v>
      </c>
      <c r="N67" s="5">
        <v>1</v>
      </c>
      <c r="O67" s="5"/>
      <c r="P67" s="5">
        <v>0</v>
      </c>
      <c r="Q67" s="53">
        <v>1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1</v>
      </c>
      <c r="Y67" s="5">
        <v>0</v>
      </c>
      <c r="Z67" s="5">
        <v>0</v>
      </c>
      <c r="AA67" s="5">
        <v>1</v>
      </c>
      <c r="AB67" s="5">
        <v>0</v>
      </c>
      <c r="AC67" s="5">
        <v>0</v>
      </c>
      <c r="AD67" s="56">
        <v>0</v>
      </c>
      <c r="AE67" s="20">
        <v>65</v>
      </c>
      <c r="AF67" s="142"/>
    </row>
    <row r="68" spans="1:32" ht="15">
      <c r="A68" s="47" t="s">
        <v>192</v>
      </c>
      <c r="B68" s="4" t="s">
        <v>193</v>
      </c>
      <c r="C68" s="41" t="s">
        <v>41</v>
      </c>
      <c r="D68" s="35" t="s">
        <v>168</v>
      </c>
      <c r="E68" s="10" t="s">
        <v>43</v>
      </c>
      <c r="F68" s="4">
        <v>2</v>
      </c>
      <c r="G68" s="4">
        <v>1</v>
      </c>
      <c r="H68" s="10" t="s">
        <v>187</v>
      </c>
      <c r="I68" s="24" t="str">
        <f t="shared" si="4"/>
        <v>A1.020.102</v>
      </c>
      <c r="J68" s="35"/>
      <c r="K68" s="4"/>
      <c r="L68" s="4"/>
      <c r="M68" s="16">
        <v>1</v>
      </c>
      <c r="N68" s="5">
        <v>1</v>
      </c>
      <c r="O68" s="5"/>
      <c r="P68" s="5">
        <v>0</v>
      </c>
      <c r="Q68" s="53">
        <v>1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1</v>
      </c>
      <c r="Y68" s="5">
        <v>0</v>
      </c>
      <c r="Z68" s="5">
        <v>0</v>
      </c>
      <c r="AA68" s="5">
        <v>1</v>
      </c>
      <c r="AB68" s="5">
        <v>0</v>
      </c>
      <c r="AC68" s="5">
        <v>0</v>
      </c>
      <c r="AD68" s="56">
        <v>0</v>
      </c>
      <c r="AE68" s="20">
        <v>66</v>
      </c>
      <c r="AF68" s="142"/>
    </row>
    <row r="69" spans="1:32" ht="15">
      <c r="A69" s="47" t="s">
        <v>194</v>
      </c>
      <c r="B69" s="4" t="s">
        <v>195</v>
      </c>
      <c r="C69" s="41" t="s">
        <v>41</v>
      </c>
      <c r="D69" s="31" t="s">
        <v>168</v>
      </c>
      <c r="E69" s="10" t="s">
        <v>43</v>
      </c>
      <c r="F69" s="4">
        <v>2</v>
      </c>
      <c r="G69" s="4">
        <v>1</v>
      </c>
      <c r="H69" s="10" t="s">
        <v>187</v>
      </c>
      <c r="I69" s="24" t="str">
        <f t="shared" si="4"/>
        <v>A1.020.103</v>
      </c>
      <c r="J69" s="31"/>
      <c r="K69" s="4"/>
      <c r="L69" s="4"/>
      <c r="M69" s="16">
        <v>1</v>
      </c>
      <c r="N69" s="5">
        <v>1</v>
      </c>
      <c r="O69" s="5"/>
      <c r="P69" s="5">
        <v>0</v>
      </c>
      <c r="Q69" s="53">
        <v>1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1</v>
      </c>
      <c r="Y69" s="5">
        <v>0</v>
      </c>
      <c r="Z69" s="5">
        <v>0</v>
      </c>
      <c r="AA69" s="5">
        <v>1</v>
      </c>
      <c r="AB69" s="5">
        <v>0</v>
      </c>
      <c r="AC69" s="5">
        <v>0</v>
      </c>
      <c r="AD69" s="56">
        <v>0</v>
      </c>
      <c r="AE69" s="53">
        <v>67</v>
      </c>
      <c r="AF69" s="142"/>
    </row>
    <row r="70" spans="1:32" ht="15">
      <c r="A70" s="47" t="s">
        <v>196</v>
      </c>
      <c r="B70" s="4" t="s">
        <v>197</v>
      </c>
      <c r="C70" s="41" t="s">
        <v>41</v>
      </c>
      <c r="D70" s="35" t="s">
        <v>168</v>
      </c>
      <c r="E70" s="10" t="s">
        <v>43</v>
      </c>
      <c r="F70" s="4">
        <v>2</v>
      </c>
      <c r="G70" s="4">
        <v>1</v>
      </c>
      <c r="H70" s="10" t="s">
        <v>187</v>
      </c>
      <c r="I70" s="24" t="str">
        <f t="shared" si="4"/>
        <v>A1.020.104</v>
      </c>
      <c r="J70" s="35"/>
      <c r="K70" s="4"/>
      <c r="L70" s="4"/>
      <c r="M70" s="16">
        <v>1</v>
      </c>
      <c r="N70" s="5">
        <v>1</v>
      </c>
      <c r="O70" s="5"/>
      <c r="P70" s="5">
        <v>0</v>
      </c>
      <c r="Q70" s="53">
        <v>1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1</v>
      </c>
      <c r="Y70" s="5">
        <v>0</v>
      </c>
      <c r="Z70" s="5">
        <v>0</v>
      </c>
      <c r="AA70" s="5">
        <v>1</v>
      </c>
      <c r="AB70" s="5">
        <v>0</v>
      </c>
      <c r="AC70" s="5">
        <v>0</v>
      </c>
      <c r="AD70" s="56">
        <v>0</v>
      </c>
      <c r="AE70" s="53">
        <v>68</v>
      </c>
      <c r="AF70" s="142"/>
    </row>
    <row r="71" spans="1:32" ht="15">
      <c r="A71" s="47" t="s">
        <v>198</v>
      </c>
      <c r="B71" s="4" t="s">
        <v>199</v>
      </c>
      <c r="C71" s="40" t="s">
        <v>41</v>
      </c>
      <c r="D71" s="31" t="s">
        <v>168</v>
      </c>
      <c r="E71" s="10" t="s">
        <v>43</v>
      </c>
      <c r="F71" s="4">
        <v>4</v>
      </c>
      <c r="G71" s="10">
        <v>2</v>
      </c>
      <c r="H71" s="10" t="s">
        <v>44</v>
      </c>
      <c r="I71" s="24" t="str">
        <f t="shared" si="4"/>
        <v>A1.030.005</v>
      </c>
      <c r="J71" s="31"/>
      <c r="K71" s="4"/>
      <c r="L71" s="4"/>
      <c r="M71" s="16">
        <v>1</v>
      </c>
      <c r="N71" s="5">
        <v>1</v>
      </c>
      <c r="O71" s="5"/>
      <c r="P71" s="5">
        <v>0</v>
      </c>
      <c r="Q71" s="53">
        <v>1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</v>
      </c>
      <c r="Y71" s="5">
        <v>0</v>
      </c>
      <c r="Z71" s="5">
        <v>0</v>
      </c>
      <c r="AA71" s="5">
        <v>1</v>
      </c>
      <c r="AB71" s="5">
        <v>0</v>
      </c>
      <c r="AC71" s="5">
        <v>0</v>
      </c>
      <c r="AD71" s="56">
        <v>0</v>
      </c>
      <c r="AE71" s="53">
        <v>69</v>
      </c>
      <c r="AF71" s="142"/>
    </row>
    <row r="72" spans="1:32" ht="15">
      <c r="A72" s="47" t="s">
        <v>200</v>
      </c>
      <c r="B72" s="4" t="s">
        <v>201</v>
      </c>
      <c r="C72" s="40" t="s">
        <v>41</v>
      </c>
      <c r="D72" s="35" t="s">
        <v>168</v>
      </c>
      <c r="E72" s="10" t="s">
        <v>43</v>
      </c>
      <c r="F72" s="4">
        <v>4</v>
      </c>
      <c r="G72" s="110">
        <v>2</v>
      </c>
      <c r="H72" s="10" t="s">
        <v>44</v>
      </c>
      <c r="I72" s="24" t="str">
        <f t="shared" si="4"/>
        <v>A1.030.008</v>
      </c>
      <c r="J72" s="35"/>
      <c r="K72" s="4"/>
      <c r="L72" s="4"/>
      <c r="M72" s="16">
        <v>1</v>
      </c>
      <c r="N72" s="5">
        <v>1</v>
      </c>
      <c r="O72" s="5"/>
      <c r="P72" s="5">
        <v>0</v>
      </c>
      <c r="Q72" s="53">
        <v>1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1</v>
      </c>
      <c r="Y72" s="5">
        <v>0</v>
      </c>
      <c r="Z72" s="5">
        <v>0</v>
      </c>
      <c r="AA72" s="5">
        <v>1</v>
      </c>
      <c r="AB72" s="5">
        <v>0</v>
      </c>
      <c r="AC72" s="5">
        <v>0</v>
      </c>
      <c r="AD72" s="56">
        <v>0</v>
      </c>
      <c r="AE72" s="20">
        <v>70</v>
      </c>
      <c r="AF72" s="142"/>
    </row>
    <row r="73" spans="1:32" ht="15">
      <c r="A73" s="47" t="s">
        <v>202</v>
      </c>
      <c r="B73" s="4" t="s">
        <v>203</v>
      </c>
      <c r="C73" s="41" t="s">
        <v>41</v>
      </c>
      <c r="D73" s="31" t="s">
        <v>168</v>
      </c>
      <c r="E73" s="10" t="s">
        <v>43</v>
      </c>
      <c r="F73" s="4">
        <v>4</v>
      </c>
      <c r="G73" s="4">
        <v>2</v>
      </c>
      <c r="H73" s="10" t="s">
        <v>44</v>
      </c>
      <c r="I73" s="24" t="str">
        <f t="shared" si="4"/>
        <v>A1.030.018</v>
      </c>
      <c r="J73" s="31"/>
      <c r="K73" s="4"/>
      <c r="L73" s="4"/>
      <c r="M73" s="16">
        <v>1</v>
      </c>
      <c r="N73" s="5">
        <v>1</v>
      </c>
      <c r="O73" s="5"/>
      <c r="P73" s="5">
        <v>0</v>
      </c>
      <c r="Q73" s="53">
        <v>1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</v>
      </c>
      <c r="Y73" s="5">
        <v>0</v>
      </c>
      <c r="Z73" s="5">
        <v>0</v>
      </c>
      <c r="AA73" s="5">
        <v>1</v>
      </c>
      <c r="AB73" s="5">
        <v>0</v>
      </c>
      <c r="AC73" s="5">
        <v>0</v>
      </c>
      <c r="AD73" s="56">
        <v>0</v>
      </c>
      <c r="AE73" s="20">
        <v>71</v>
      </c>
      <c r="AF73" s="142"/>
    </row>
    <row r="74" spans="1:32" ht="15">
      <c r="A74" s="47" t="s">
        <v>204</v>
      </c>
      <c r="B74" s="4" t="s">
        <v>205</v>
      </c>
      <c r="C74" s="41" t="s">
        <v>41</v>
      </c>
      <c r="D74" s="35" t="s">
        <v>168</v>
      </c>
      <c r="E74" s="10" t="s">
        <v>43</v>
      </c>
      <c r="F74" s="4">
        <v>4</v>
      </c>
      <c r="G74" s="4">
        <v>2</v>
      </c>
      <c r="H74" s="10" t="s">
        <v>44</v>
      </c>
      <c r="I74" s="24" t="str">
        <f t="shared" si="4"/>
        <v>A1.030.020</v>
      </c>
      <c r="J74" s="35"/>
      <c r="K74" s="4"/>
      <c r="L74" s="4"/>
      <c r="M74" s="16">
        <v>1</v>
      </c>
      <c r="N74" s="5">
        <v>1</v>
      </c>
      <c r="O74" s="5"/>
      <c r="P74" s="5">
        <v>0</v>
      </c>
      <c r="Q74" s="53">
        <v>1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</v>
      </c>
      <c r="Y74" s="5">
        <v>0</v>
      </c>
      <c r="Z74" s="5">
        <v>0</v>
      </c>
      <c r="AA74" s="5">
        <v>1</v>
      </c>
      <c r="AB74" s="5">
        <v>0</v>
      </c>
      <c r="AC74" s="5">
        <v>0</v>
      </c>
      <c r="AD74" s="56">
        <v>0</v>
      </c>
      <c r="AE74" s="53">
        <v>72</v>
      </c>
      <c r="AF74" s="142"/>
    </row>
    <row r="75" spans="1:32" ht="15">
      <c r="A75" s="47" t="s">
        <v>206</v>
      </c>
      <c r="B75" s="4" t="s">
        <v>207</v>
      </c>
      <c r="C75" s="41" t="s">
        <v>41</v>
      </c>
      <c r="D75" s="31" t="s">
        <v>168</v>
      </c>
      <c r="E75" s="10" t="s">
        <v>43</v>
      </c>
      <c r="F75" s="4">
        <v>6</v>
      </c>
      <c r="G75" s="4">
        <v>2</v>
      </c>
      <c r="H75" s="10"/>
      <c r="I75" s="24" t="str">
        <f t="shared" si="4"/>
        <v>A1.030.049</v>
      </c>
      <c r="J75" s="31"/>
      <c r="K75" s="4"/>
      <c r="L75" s="4"/>
      <c r="M75" s="16">
        <v>1</v>
      </c>
      <c r="N75" s="5">
        <v>1</v>
      </c>
      <c r="O75" s="5"/>
      <c r="P75" s="5">
        <v>0</v>
      </c>
      <c r="Q75" s="53">
        <v>1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1</v>
      </c>
      <c r="Y75" s="5">
        <v>0</v>
      </c>
      <c r="Z75" s="5">
        <v>0</v>
      </c>
      <c r="AA75" s="5">
        <v>1</v>
      </c>
      <c r="AB75" s="5">
        <v>0</v>
      </c>
      <c r="AC75" s="5">
        <v>0</v>
      </c>
      <c r="AD75" s="56">
        <v>0</v>
      </c>
      <c r="AE75" s="53">
        <v>73</v>
      </c>
      <c r="AF75" s="142"/>
    </row>
    <row r="76" spans="1:32" ht="15">
      <c r="A76" s="47" t="s">
        <v>208</v>
      </c>
      <c r="B76" s="4" t="s">
        <v>209</v>
      </c>
      <c r="C76" s="40" t="s">
        <v>41</v>
      </c>
      <c r="D76" s="35" t="s">
        <v>168</v>
      </c>
      <c r="E76" s="10" t="s">
        <v>43</v>
      </c>
      <c r="F76" s="4">
        <v>6</v>
      </c>
      <c r="G76" s="4">
        <v>2</v>
      </c>
      <c r="H76" s="10" t="s">
        <v>44</v>
      </c>
      <c r="I76" s="24" t="str">
        <f t="shared" si="4"/>
        <v>A1.030.053</v>
      </c>
      <c r="J76" s="35"/>
      <c r="K76" s="4"/>
      <c r="L76" s="4"/>
      <c r="M76" s="16">
        <v>1</v>
      </c>
      <c r="N76" s="5">
        <v>1</v>
      </c>
      <c r="O76" s="5"/>
      <c r="P76" s="5">
        <v>0</v>
      </c>
      <c r="Q76" s="53">
        <v>1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3</v>
      </c>
      <c r="Y76" s="5">
        <v>0</v>
      </c>
      <c r="Z76" s="5">
        <v>0</v>
      </c>
      <c r="AA76" s="5">
        <v>1</v>
      </c>
      <c r="AB76" s="5">
        <v>0</v>
      </c>
      <c r="AC76" s="5">
        <v>0</v>
      </c>
      <c r="AD76" s="56">
        <v>0</v>
      </c>
      <c r="AE76" s="53">
        <v>74</v>
      </c>
      <c r="AF76" s="142"/>
    </row>
    <row r="77" spans="1:32" ht="15">
      <c r="A77" s="47" t="s">
        <v>210</v>
      </c>
      <c r="B77" s="4" t="s">
        <v>211</v>
      </c>
      <c r="C77" s="40" t="s">
        <v>41</v>
      </c>
      <c r="D77" s="31" t="s">
        <v>168</v>
      </c>
      <c r="E77" s="4" t="s">
        <v>57</v>
      </c>
      <c r="F77" s="4">
        <v>2</v>
      </c>
      <c r="G77" s="4">
        <v>1</v>
      </c>
      <c r="H77" s="10" t="s">
        <v>58</v>
      </c>
      <c r="I77" s="24" t="str">
        <f t="shared" si="4"/>
        <v>A2.020.001</v>
      </c>
      <c r="J77" s="31"/>
      <c r="K77" s="4"/>
      <c r="L77" s="4"/>
      <c r="M77" s="16">
        <v>1</v>
      </c>
      <c r="N77" s="5">
        <v>2</v>
      </c>
      <c r="O77" s="5"/>
      <c r="P77" s="5">
        <v>0</v>
      </c>
      <c r="Q77" s="5">
        <v>2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1</v>
      </c>
      <c r="Y77" s="5">
        <v>0</v>
      </c>
      <c r="Z77" s="5">
        <v>0</v>
      </c>
      <c r="AA77" s="5">
        <v>1</v>
      </c>
      <c r="AB77" s="5">
        <v>0</v>
      </c>
      <c r="AC77" s="5">
        <v>0</v>
      </c>
      <c r="AD77" s="56">
        <v>0</v>
      </c>
      <c r="AE77" s="20">
        <v>75</v>
      </c>
      <c r="AF77" s="142"/>
    </row>
    <row r="78" spans="1:32" ht="15">
      <c r="A78" s="47" t="s">
        <v>212</v>
      </c>
      <c r="B78" s="4" t="s">
        <v>213</v>
      </c>
      <c r="C78" s="41" t="s">
        <v>41</v>
      </c>
      <c r="D78" s="35" t="s">
        <v>168</v>
      </c>
      <c r="E78" s="4" t="s">
        <v>57</v>
      </c>
      <c r="F78" s="4">
        <v>2</v>
      </c>
      <c r="G78" s="4">
        <v>1</v>
      </c>
      <c r="H78" s="10" t="s">
        <v>58</v>
      </c>
      <c r="I78" s="24" t="str">
        <f t="shared" si="4"/>
        <v>A2.020.002</v>
      </c>
      <c r="J78" s="35"/>
      <c r="K78" s="4"/>
      <c r="L78" s="4"/>
      <c r="M78" s="16">
        <v>1</v>
      </c>
      <c r="N78" s="5">
        <v>2</v>
      </c>
      <c r="O78" s="5"/>
      <c r="P78" s="5">
        <v>0</v>
      </c>
      <c r="Q78" s="5">
        <v>2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2</v>
      </c>
      <c r="Y78" s="5">
        <v>0</v>
      </c>
      <c r="Z78" s="5">
        <v>0</v>
      </c>
      <c r="AA78" s="5">
        <v>2</v>
      </c>
      <c r="AB78" s="5">
        <v>0</v>
      </c>
      <c r="AC78" s="5">
        <v>0</v>
      </c>
      <c r="AD78" s="56">
        <v>0</v>
      </c>
      <c r="AE78" s="20">
        <v>76</v>
      </c>
      <c r="AF78" s="142"/>
    </row>
    <row r="79" spans="1:32" ht="15">
      <c r="A79" s="47" t="s">
        <v>214</v>
      </c>
      <c r="B79" s="4" t="s">
        <v>215</v>
      </c>
      <c r="C79" s="41" t="s">
        <v>41</v>
      </c>
      <c r="D79" s="31" t="s">
        <v>168</v>
      </c>
      <c r="E79" s="4" t="s">
        <v>57</v>
      </c>
      <c r="F79" s="4">
        <v>2</v>
      </c>
      <c r="G79" s="4">
        <v>1</v>
      </c>
      <c r="H79" s="10" t="s">
        <v>58</v>
      </c>
      <c r="I79" s="24" t="str">
        <f t="shared" si="4"/>
        <v>A2.020.003</v>
      </c>
      <c r="J79" s="31"/>
      <c r="K79" s="4"/>
      <c r="L79" s="4"/>
      <c r="M79" s="16">
        <v>1</v>
      </c>
      <c r="N79" s="5">
        <v>2</v>
      </c>
      <c r="O79" s="5"/>
      <c r="P79" s="5">
        <v>0</v>
      </c>
      <c r="Q79" s="5">
        <v>2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1</v>
      </c>
      <c r="Y79" s="5">
        <v>0</v>
      </c>
      <c r="Z79" s="5">
        <v>0</v>
      </c>
      <c r="AA79" s="5">
        <v>2</v>
      </c>
      <c r="AB79" s="5">
        <v>0</v>
      </c>
      <c r="AC79" s="5">
        <v>0</v>
      </c>
      <c r="AD79" s="56">
        <v>0</v>
      </c>
      <c r="AE79" s="53">
        <v>77</v>
      </c>
      <c r="AF79" s="142"/>
    </row>
    <row r="80" spans="1:32" ht="15">
      <c r="A80" s="47" t="s">
        <v>216</v>
      </c>
      <c r="B80" s="4" t="s">
        <v>217</v>
      </c>
      <c r="C80" s="41" t="s">
        <v>41</v>
      </c>
      <c r="D80" s="35" t="s">
        <v>168</v>
      </c>
      <c r="E80" s="4" t="s">
        <v>57</v>
      </c>
      <c r="F80" s="4">
        <v>2</v>
      </c>
      <c r="G80" s="4">
        <v>1</v>
      </c>
      <c r="H80" s="10"/>
      <c r="I80" s="29" t="s">
        <v>218</v>
      </c>
      <c r="J80" s="35"/>
      <c r="K80" s="4"/>
      <c r="L80" s="4"/>
      <c r="M80" s="16">
        <v>1</v>
      </c>
      <c r="N80" s="5">
        <v>1</v>
      </c>
      <c r="O80" s="5"/>
      <c r="P80" s="5">
        <v>0</v>
      </c>
      <c r="Q80" s="53">
        <v>1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2</v>
      </c>
      <c r="Y80" s="5">
        <v>0</v>
      </c>
      <c r="Z80" s="5">
        <v>0</v>
      </c>
      <c r="AA80" s="5">
        <v>1</v>
      </c>
      <c r="AB80" s="5">
        <v>0</v>
      </c>
      <c r="AC80" s="5">
        <v>0</v>
      </c>
      <c r="AD80" s="56">
        <v>0</v>
      </c>
      <c r="AE80" s="53">
        <v>78</v>
      </c>
      <c r="AF80" s="142"/>
    </row>
    <row r="81" spans="1:32" ht="15">
      <c r="A81" s="47" t="s">
        <v>219</v>
      </c>
      <c r="B81" s="4" t="s">
        <v>220</v>
      </c>
      <c r="C81" s="40" t="s">
        <v>41</v>
      </c>
      <c r="D81" s="31" t="s">
        <v>168</v>
      </c>
      <c r="E81" s="4" t="s">
        <v>57</v>
      </c>
      <c r="F81" s="4">
        <v>2</v>
      </c>
      <c r="G81" s="4">
        <v>1</v>
      </c>
      <c r="H81" s="10" t="s">
        <v>58</v>
      </c>
      <c r="I81" s="24" t="str">
        <f>A81</f>
        <v>A2.020.012</v>
      </c>
      <c r="J81" s="31"/>
      <c r="K81" s="4"/>
      <c r="L81" s="4"/>
      <c r="M81" s="16">
        <v>1</v>
      </c>
      <c r="N81" s="5">
        <v>1</v>
      </c>
      <c r="O81" s="5"/>
      <c r="P81" s="5">
        <v>0</v>
      </c>
      <c r="Q81" s="53">
        <v>1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1</v>
      </c>
      <c r="Y81" s="5">
        <v>0</v>
      </c>
      <c r="Z81" s="5">
        <v>0</v>
      </c>
      <c r="AA81" s="5">
        <v>1</v>
      </c>
      <c r="AB81" s="5">
        <v>0</v>
      </c>
      <c r="AC81" s="5">
        <v>0</v>
      </c>
      <c r="AD81" s="56">
        <v>0</v>
      </c>
      <c r="AE81" s="53">
        <v>79</v>
      </c>
      <c r="AF81" s="142"/>
    </row>
    <row r="82" spans="1:32" ht="15">
      <c r="A82" s="47" t="s">
        <v>221</v>
      </c>
      <c r="B82" s="4" t="s">
        <v>222</v>
      </c>
      <c r="C82" s="40" t="s">
        <v>41</v>
      </c>
      <c r="D82" s="35" t="s">
        <v>168</v>
      </c>
      <c r="E82" s="4" t="s">
        <v>57</v>
      </c>
      <c r="F82" s="4">
        <v>1</v>
      </c>
      <c r="G82" s="4">
        <v>1</v>
      </c>
      <c r="H82" s="10" t="s">
        <v>58</v>
      </c>
      <c r="I82" s="29" t="s">
        <v>223</v>
      </c>
      <c r="J82" s="35"/>
      <c r="K82" s="4"/>
      <c r="L82" s="4"/>
      <c r="M82" s="16">
        <v>1</v>
      </c>
      <c r="N82" s="5">
        <v>2</v>
      </c>
      <c r="O82" s="5"/>
      <c r="P82" s="5">
        <v>0</v>
      </c>
      <c r="Q82" s="5">
        <v>2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3</v>
      </c>
      <c r="Y82" s="5">
        <v>0</v>
      </c>
      <c r="Z82" s="5">
        <v>0</v>
      </c>
      <c r="AA82" s="5">
        <v>4</v>
      </c>
      <c r="AB82" s="5">
        <v>0</v>
      </c>
      <c r="AC82" s="5">
        <v>0</v>
      </c>
      <c r="AD82" s="56">
        <v>0</v>
      </c>
      <c r="AE82" s="20">
        <v>80</v>
      </c>
      <c r="AF82" s="142"/>
    </row>
    <row r="83" spans="1:32" ht="15">
      <c r="A83" s="47" t="s">
        <v>224</v>
      </c>
      <c r="B83" s="4" t="s">
        <v>225</v>
      </c>
      <c r="C83" s="41" t="s">
        <v>41</v>
      </c>
      <c r="D83" s="31" t="s">
        <v>168</v>
      </c>
      <c r="E83" s="4" t="s">
        <v>57</v>
      </c>
      <c r="F83" s="4">
        <v>3</v>
      </c>
      <c r="G83" s="4">
        <v>1</v>
      </c>
      <c r="H83" s="10" t="s">
        <v>58</v>
      </c>
      <c r="I83" s="24" t="str">
        <f>A83</f>
        <v>A2.020.022</v>
      </c>
      <c r="J83" s="31"/>
      <c r="K83" s="4"/>
      <c r="L83" s="4"/>
      <c r="M83" s="16">
        <v>1</v>
      </c>
      <c r="N83" s="5">
        <v>2</v>
      </c>
      <c r="O83" s="5"/>
      <c r="P83" s="5">
        <v>0</v>
      </c>
      <c r="Q83" s="5">
        <v>2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2</v>
      </c>
      <c r="Y83" s="5">
        <v>0</v>
      </c>
      <c r="Z83" s="5">
        <v>0</v>
      </c>
      <c r="AA83" s="5">
        <v>2</v>
      </c>
      <c r="AB83" s="5">
        <v>0</v>
      </c>
      <c r="AC83" s="5">
        <v>0</v>
      </c>
      <c r="AD83" s="56">
        <v>0</v>
      </c>
      <c r="AE83" s="20">
        <v>81</v>
      </c>
      <c r="AF83" s="142"/>
    </row>
    <row r="84" spans="1:32" ht="15">
      <c r="A84" s="47" t="s">
        <v>226</v>
      </c>
      <c r="B84" s="4" t="s">
        <v>227</v>
      </c>
      <c r="C84" s="41" t="s">
        <v>41</v>
      </c>
      <c r="D84" s="35" t="s">
        <v>168</v>
      </c>
      <c r="E84" s="4" t="s">
        <v>57</v>
      </c>
      <c r="F84" s="4">
        <v>3</v>
      </c>
      <c r="G84" s="4">
        <v>1</v>
      </c>
      <c r="H84" s="10" t="s">
        <v>58</v>
      </c>
      <c r="I84" s="24" t="str">
        <f>A84</f>
        <v>A2.020.025</v>
      </c>
      <c r="J84" s="35"/>
      <c r="K84" s="4"/>
      <c r="L84" s="4"/>
      <c r="M84" s="16">
        <v>1</v>
      </c>
      <c r="N84" s="5">
        <v>1</v>
      </c>
      <c r="O84" s="5"/>
      <c r="P84" s="5">
        <v>0</v>
      </c>
      <c r="Q84" s="53">
        <v>1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1</v>
      </c>
      <c r="Y84" s="5">
        <v>0</v>
      </c>
      <c r="Z84" s="5">
        <v>0</v>
      </c>
      <c r="AA84" s="5">
        <v>1</v>
      </c>
      <c r="AB84" s="5">
        <v>0</v>
      </c>
      <c r="AC84" s="5">
        <v>0</v>
      </c>
      <c r="AD84" s="56">
        <v>0</v>
      </c>
      <c r="AE84" s="53">
        <v>82</v>
      </c>
      <c r="AF84" s="142"/>
    </row>
    <row r="85" spans="1:32" ht="15">
      <c r="A85" s="47" t="s">
        <v>228</v>
      </c>
      <c r="B85" s="4" t="s">
        <v>229</v>
      </c>
      <c r="C85" s="41" t="s">
        <v>41</v>
      </c>
      <c r="D85" s="31" t="s">
        <v>168</v>
      </c>
      <c r="E85" s="4" t="s">
        <v>57</v>
      </c>
      <c r="F85" s="4">
        <v>3</v>
      </c>
      <c r="G85" s="10">
        <v>1</v>
      </c>
      <c r="H85" s="10"/>
      <c r="I85" s="29" t="s">
        <v>230</v>
      </c>
      <c r="J85" s="31"/>
      <c r="K85" s="4"/>
      <c r="L85" s="4"/>
      <c r="M85" s="16">
        <v>1</v>
      </c>
      <c r="N85" s="5">
        <v>1</v>
      </c>
      <c r="O85" s="5"/>
      <c r="P85" s="5">
        <v>0</v>
      </c>
      <c r="Q85" s="53">
        <v>1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1</v>
      </c>
      <c r="Y85" s="5">
        <v>0</v>
      </c>
      <c r="Z85" s="5">
        <v>0</v>
      </c>
      <c r="AA85" s="5">
        <v>1</v>
      </c>
      <c r="AB85" s="5">
        <v>0</v>
      </c>
      <c r="AC85" s="5">
        <v>0</v>
      </c>
      <c r="AD85" s="56">
        <v>0</v>
      </c>
      <c r="AE85" s="53">
        <v>83</v>
      </c>
      <c r="AF85" s="142"/>
    </row>
    <row r="86" spans="1:32" ht="15">
      <c r="A86" s="47" t="s">
        <v>231</v>
      </c>
      <c r="B86" s="4" t="s">
        <v>232</v>
      </c>
      <c r="C86" s="40" t="s">
        <v>41</v>
      </c>
      <c r="D86" s="35" t="s">
        <v>168</v>
      </c>
      <c r="E86" s="4" t="s">
        <v>57</v>
      </c>
      <c r="F86" s="4">
        <v>2</v>
      </c>
      <c r="G86" s="110">
        <v>1</v>
      </c>
      <c r="H86" s="10" t="s">
        <v>58</v>
      </c>
      <c r="I86" s="24" t="str">
        <f t="shared" ref="I86:I95" si="5">A86</f>
        <v>A2.020.044</v>
      </c>
      <c r="J86" s="35"/>
      <c r="K86" s="4"/>
      <c r="L86" s="4"/>
      <c r="M86" s="16">
        <v>1</v>
      </c>
      <c r="N86" s="5">
        <v>1</v>
      </c>
      <c r="O86" s="5"/>
      <c r="P86" s="5">
        <v>0</v>
      </c>
      <c r="Q86" s="53">
        <v>1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2</v>
      </c>
      <c r="Y86" s="5">
        <v>0</v>
      </c>
      <c r="Z86" s="5">
        <v>0</v>
      </c>
      <c r="AA86" s="5">
        <v>2</v>
      </c>
      <c r="AB86" s="5">
        <v>0</v>
      </c>
      <c r="AC86" s="5">
        <v>0</v>
      </c>
      <c r="AD86" s="56">
        <v>0</v>
      </c>
      <c r="AE86" s="53">
        <v>84</v>
      </c>
      <c r="AF86" s="142"/>
    </row>
    <row r="87" spans="1:32" ht="15">
      <c r="A87" s="47" t="s">
        <v>233</v>
      </c>
      <c r="B87" s="4" t="s">
        <v>234</v>
      </c>
      <c r="C87" s="40" t="s">
        <v>41</v>
      </c>
      <c r="D87" s="31" t="s">
        <v>168</v>
      </c>
      <c r="E87" s="4" t="s">
        <v>57</v>
      </c>
      <c r="F87" s="4">
        <v>2</v>
      </c>
      <c r="G87" s="4">
        <v>1</v>
      </c>
      <c r="H87" s="10" t="s">
        <v>58</v>
      </c>
      <c r="I87" s="24" t="str">
        <f t="shared" si="5"/>
        <v>A2.020.045</v>
      </c>
      <c r="J87" s="31"/>
      <c r="K87" s="4"/>
      <c r="L87" s="4"/>
      <c r="M87" s="16">
        <v>1</v>
      </c>
      <c r="N87" s="5">
        <v>2</v>
      </c>
      <c r="O87" s="5"/>
      <c r="P87" s="5">
        <v>0</v>
      </c>
      <c r="Q87" s="5">
        <v>2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3</v>
      </c>
      <c r="Y87" s="5">
        <v>0</v>
      </c>
      <c r="Z87" s="5">
        <v>0</v>
      </c>
      <c r="AA87" s="5">
        <v>1</v>
      </c>
      <c r="AB87" s="5">
        <v>3</v>
      </c>
      <c r="AC87" s="5">
        <v>0</v>
      </c>
      <c r="AD87" s="56">
        <v>0</v>
      </c>
      <c r="AE87" s="20">
        <v>85</v>
      </c>
      <c r="AF87" s="142"/>
    </row>
    <row r="88" spans="1:32" ht="15">
      <c r="A88" s="47" t="s">
        <v>235</v>
      </c>
      <c r="B88" s="4" t="s">
        <v>236</v>
      </c>
      <c r="C88" s="41" t="s">
        <v>41</v>
      </c>
      <c r="D88" s="35" t="s">
        <v>168</v>
      </c>
      <c r="E88" s="4" t="s">
        <v>57</v>
      </c>
      <c r="F88" s="4">
        <v>4</v>
      </c>
      <c r="G88" s="4">
        <v>2</v>
      </c>
      <c r="H88" s="10" t="s">
        <v>58</v>
      </c>
      <c r="I88" s="24" t="str">
        <f t="shared" si="5"/>
        <v>A2.030.002</v>
      </c>
      <c r="J88" s="35"/>
      <c r="K88" s="4"/>
      <c r="L88" s="4"/>
      <c r="M88" s="16">
        <v>1</v>
      </c>
      <c r="N88" s="5">
        <v>1</v>
      </c>
      <c r="O88" s="5"/>
      <c r="P88" s="5">
        <v>0</v>
      </c>
      <c r="Q88" s="53">
        <v>1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3</v>
      </c>
      <c r="Y88" s="5">
        <v>0</v>
      </c>
      <c r="Z88" s="5">
        <v>0</v>
      </c>
      <c r="AA88" s="5">
        <v>2</v>
      </c>
      <c r="AB88" s="5">
        <v>0</v>
      </c>
      <c r="AC88" s="5">
        <v>0</v>
      </c>
      <c r="AD88" s="56">
        <v>0</v>
      </c>
      <c r="AE88" s="20">
        <v>86</v>
      </c>
      <c r="AF88" s="142"/>
    </row>
    <row r="89" spans="1:32" ht="15">
      <c r="A89" s="47" t="s">
        <v>237</v>
      </c>
      <c r="B89" s="4" t="s">
        <v>238</v>
      </c>
      <c r="C89" s="41" t="s">
        <v>41</v>
      </c>
      <c r="D89" s="31" t="s">
        <v>168</v>
      </c>
      <c r="E89" s="4" t="s">
        <v>57</v>
      </c>
      <c r="F89" s="4">
        <v>4</v>
      </c>
      <c r="G89" s="4">
        <v>2</v>
      </c>
      <c r="H89" s="10" t="s">
        <v>58</v>
      </c>
      <c r="I89" s="24" t="str">
        <f t="shared" si="5"/>
        <v>A2.030.014</v>
      </c>
      <c r="J89" s="31"/>
      <c r="K89" s="4"/>
      <c r="L89" s="4"/>
      <c r="M89" s="16">
        <v>1</v>
      </c>
      <c r="N89" s="5">
        <v>1</v>
      </c>
      <c r="O89" s="5"/>
      <c r="P89" s="5">
        <v>0</v>
      </c>
      <c r="Q89" s="53">
        <v>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1</v>
      </c>
      <c r="Y89" s="5">
        <v>0</v>
      </c>
      <c r="Z89" s="5">
        <v>0</v>
      </c>
      <c r="AA89" s="5">
        <v>1</v>
      </c>
      <c r="AB89" s="5">
        <v>0</v>
      </c>
      <c r="AC89" s="5">
        <v>0</v>
      </c>
      <c r="AD89" s="56">
        <v>0</v>
      </c>
      <c r="AE89" s="53">
        <v>87</v>
      </c>
      <c r="AF89" s="142"/>
    </row>
    <row r="90" spans="1:32" ht="15">
      <c r="A90" s="47" t="s">
        <v>239</v>
      </c>
      <c r="B90" s="4" t="s">
        <v>240</v>
      </c>
      <c r="C90" s="41" t="s">
        <v>41</v>
      </c>
      <c r="D90" s="35" t="s">
        <v>168</v>
      </c>
      <c r="E90" s="4" t="s">
        <v>57</v>
      </c>
      <c r="F90" s="4">
        <v>4</v>
      </c>
      <c r="G90" s="4">
        <v>2</v>
      </c>
      <c r="H90" s="10" t="s">
        <v>58</v>
      </c>
      <c r="I90" s="24" t="str">
        <f t="shared" si="5"/>
        <v>A2.030.015</v>
      </c>
      <c r="J90" s="35"/>
      <c r="K90" s="4"/>
      <c r="L90" s="4"/>
      <c r="M90" s="16">
        <v>1</v>
      </c>
      <c r="N90" s="5">
        <v>1</v>
      </c>
      <c r="O90" s="5"/>
      <c r="P90" s="5">
        <v>0</v>
      </c>
      <c r="Q90" s="53">
        <v>1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1</v>
      </c>
      <c r="Y90" s="5">
        <v>0</v>
      </c>
      <c r="Z90" s="5">
        <v>0</v>
      </c>
      <c r="AA90" s="5">
        <v>5</v>
      </c>
      <c r="AB90" s="5">
        <v>0</v>
      </c>
      <c r="AC90" s="5">
        <v>0</v>
      </c>
      <c r="AD90" s="56">
        <v>0</v>
      </c>
      <c r="AE90" s="53">
        <v>88</v>
      </c>
      <c r="AF90" s="142"/>
    </row>
    <row r="91" spans="1:32" ht="15">
      <c r="A91" s="47" t="s">
        <v>241</v>
      </c>
      <c r="B91" s="4" t="s">
        <v>242</v>
      </c>
      <c r="C91" s="40" t="s">
        <v>41</v>
      </c>
      <c r="D91" s="31" t="s">
        <v>168</v>
      </c>
      <c r="E91" s="4" t="s">
        <v>57</v>
      </c>
      <c r="F91" s="4">
        <v>6</v>
      </c>
      <c r="G91" s="4">
        <v>2</v>
      </c>
      <c r="H91" s="10" t="s">
        <v>58</v>
      </c>
      <c r="I91" s="24" t="str">
        <f t="shared" si="5"/>
        <v>A2.030.024</v>
      </c>
      <c r="J91" s="31"/>
      <c r="K91" s="4"/>
      <c r="L91" s="4"/>
      <c r="M91" s="16">
        <v>1</v>
      </c>
      <c r="N91" s="5">
        <v>1</v>
      </c>
      <c r="O91" s="5"/>
      <c r="P91" s="5">
        <v>0</v>
      </c>
      <c r="Q91" s="53">
        <v>1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</v>
      </c>
      <c r="Y91" s="5">
        <v>0</v>
      </c>
      <c r="Z91" s="5">
        <v>0</v>
      </c>
      <c r="AA91" s="5">
        <v>1</v>
      </c>
      <c r="AB91" s="5">
        <v>0</v>
      </c>
      <c r="AC91" s="5">
        <v>0</v>
      </c>
      <c r="AD91" s="56">
        <v>0</v>
      </c>
      <c r="AE91" s="53">
        <v>89</v>
      </c>
      <c r="AF91" s="142"/>
    </row>
    <row r="92" spans="1:32" ht="15">
      <c r="A92" s="47" t="s">
        <v>243</v>
      </c>
      <c r="B92" s="4" t="s">
        <v>244</v>
      </c>
      <c r="C92" s="40" t="s">
        <v>41</v>
      </c>
      <c r="D92" s="35" t="s">
        <v>168</v>
      </c>
      <c r="E92" s="4" t="s">
        <v>57</v>
      </c>
      <c r="F92" s="4">
        <v>6</v>
      </c>
      <c r="G92" s="4">
        <v>2</v>
      </c>
      <c r="H92" s="10" t="s">
        <v>58</v>
      </c>
      <c r="I92" s="24" t="str">
        <f t="shared" si="5"/>
        <v>A2.030.043</v>
      </c>
      <c r="J92" s="35"/>
      <c r="K92" s="4"/>
      <c r="L92" s="4"/>
      <c r="M92" s="16">
        <v>1</v>
      </c>
      <c r="N92" s="5">
        <v>1</v>
      </c>
      <c r="O92" s="5"/>
      <c r="P92" s="5">
        <v>0</v>
      </c>
      <c r="Q92" s="53">
        <v>1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2</v>
      </c>
      <c r="Y92" s="5">
        <v>0</v>
      </c>
      <c r="Z92" s="5">
        <v>0</v>
      </c>
      <c r="AA92" s="5">
        <v>1</v>
      </c>
      <c r="AB92" s="5">
        <v>0</v>
      </c>
      <c r="AC92" s="5">
        <v>0</v>
      </c>
      <c r="AD92" s="56">
        <v>0</v>
      </c>
      <c r="AE92" s="20">
        <v>90</v>
      </c>
      <c r="AF92" s="142"/>
    </row>
    <row r="93" spans="1:32" ht="15">
      <c r="A93" s="47" t="s">
        <v>245</v>
      </c>
      <c r="B93" s="4" t="s">
        <v>246</v>
      </c>
      <c r="C93" s="41" t="s">
        <v>41</v>
      </c>
      <c r="D93" s="31" t="s">
        <v>168</v>
      </c>
      <c r="E93" s="4" t="s">
        <v>57</v>
      </c>
      <c r="F93" s="4">
        <v>4</v>
      </c>
      <c r="G93" s="125">
        <v>2</v>
      </c>
      <c r="H93" s="10"/>
      <c r="I93" s="24" t="str">
        <f t="shared" si="5"/>
        <v>A2.040.001</v>
      </c>
      <c r="J93" s="31"/>
      <c r="K93" s="4"/>
      <c r="L93" s="4"/>
      <c r="M93" s="16">
        <v>1</v>
      </c>
      <c r="N93" s="5">
        <v>1</v>
      </c>
      <c r="O93" s="5"/>
      <c r="P93" s="5">
        <v>0</v>
      </c>
      <c r="Q93" s="53">
        <v>1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1</v>
      </c>
      <c r="Y93" s="5">
        <v>0</v>
      </c>
      <c r="Z93" s="5">
        <v>0</v>
      </c>
      <c r="AA93" s="5">
        <v>1</v>
      </c>
      <c r="AB93" s="5">
        <v>0</v>
      </c>
      <c r="AC93" s="5">
        <v>0</v>
      </c>
      <c r="AD93" s="56">
        <v>0</v>
      </c>
      <c r="AE93" s="20">
        <v>91</v>
      </c>
      <c r="AF93" s="142"/>
    </row>
    <row r="94" spans="1:32" ht="15">
      <c r="A94" s="47" t="s">
        <v>247</v>
      </c>
      <c r="B94" s="4" t="s">
        <v>248</v>
      </c>
      <c r="C94" s="41" t="s">
        <v>41</v>
      </c>
      <c r="D94" s="35" t="s">
        <v>168</v>
      </c>
      <c r="E94" s="4" t="s">
        <v>57</v>
      </c>
      <c r="F94" s="4">
        <v>4</v>
      </c>
      <c r="G94" s="125">
        <v>2</v>
      </c>
      <c r="H94" s="10"/>
      <c r="I94" s="24" t="str">
        <f t="shared" si="5"/>
        <v>A2.040.002</v>
      </c>
      <c r="J94" s="35"/>
      <c r="K94" s="4"/>
      <c r="L94" s="4"/>
      <c r="M94" s="16">
        <v>1</v>
      </c>
      <c r="N94" s="5">
        <v>1</v>
      </c>
      <c r="O94" s="5"/>
      <c r="P94" s="5">
        <v>0</v>
      </c>
      <c r="Q94" s="53">
        <v>1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1</v>
      </c>
      <c r="Y94" s="5">
        <v>0</v>
      </c>
      <c r="Z94" s="5">
        <v>0</v>
      </c>
      <c r="AA94" s="5">
        <v>1</v>
      </c>
      <c r="AB94" s="5">
        <v>0</v>
      </c>
      <c r="AC94" s="5">
        <v>0</v>
      </c>
      <c r="AD94" s="56">
        <v>0</v>
      </c>
      <c r="AE94" s="53">
        <v>92</v>
      </c>
      <c r="AF94" s="142"/>
    </row>
    <row r="95" spans="1:32" ht="15">
      <c r="A95" s="47" t="s">
        <v>249</v>
      </c>
      <c r="B95" s="4" t="s">
        <v>250</v>
      </c>
      <c r="C95" s="41" t="s">
        <v>41</v>
      </c>
      <c r="D95" s="31" t="s">
        <v>168</v>
      </c>
      <c r="E95" s="4" t="s">
        <v>57</v>
      </c>
      <c r="F95" s="4">
        <v>4</v>
      </c>
      <c r="G95" s="125">
        <v>2</v>
      </c>
      <c r="H95" s="10"/>
      <c r="I95" s="24" t="str">
        <f t="shared" si="5"/>
        <v>A2.040.003</v>
      </c>
      <c r="J95" s="31"/>
      <c r="K95" s="4"/>
      <c r="L95" s="4"/>
      <c r="M95" s="16">
        <v>1</v>
      </c>
      <c r="N95" s="5">
        <v>1</v>
      </c>
      <c r="O95" s="5"/>
      <c r="P95" s="5">
        <v>0</v>
      </c>
      <c r="Q95" s="53">
        <v>1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1</v>
      </c>
      <c r="AB95" s="5">
        <v>0</v>
      </c>
      <c r="AC95" s="5">
        <v>0</v>
      </c>
      <c r="AD95" s="56">
        <v>0</v>
      </c>
      <c r="AE95" s="53">
        <v>93</v>
      </c>
      <c r="AF95" s="142"/>
    </row>
    <row r="96" spans="1:32" ht="15">
      <c r="A96" s="47" t="s">
        <v>251</v>
      </c>
      <c r="B96" s="4" t="s">
        <v>252</v>
      </c>
      <c r="C96" s="40" t="s">
        <v>41</v>
      </c>
      <c r="D96" s="35" t="s">
        <v>168</v>
      </c>
      <c r="E96" s="4" t="s">
        <v>71</v>
      </c>
      <c r="F96" s="4">
        <v>2</v>
      </c>
      <c r="G96" s="4">
        <v>1</v>
      </c>
      <c r="H96" s="4"/>
      <c r="I96" s="29" t="s">
        <v>253</v>
      </c>
      <c r="J96" s="35"/>
      <c r="K96" s="4"/>
      <c r="L96" s="4"/>
      <c r="M96" s="16">
        <v>1</v>
      </c>
      <c r="N96" s="5">
        <v>1</v>
      </c>
      <c r="O96" s="5"/>
      <c r="P96" s="5">
        <v>0</v>
      </c>
      <c r="Q96" s="53">
        <v>1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1</v>
      </c>
      <c r="AB96" s="5">
        <v>0</v>
      </c>
      <c r="AC96" s="5">
        <v>0</v>
      </c>
      <c r="AD96" s="56">
        <v>0</v>
      </c>
      <c r="AE96" s="53">
        <v>94</v>
      </c>
      <c r="AF96" s="142"/>
    </row>
    <row r="97" spans="1:32" ht="15">
      <c r="A97" s="47" t="s">
        <v>254</v>
      </c>
      <c r="B97" s="4" t="s">
        <v>255</v>
      </c>
      <c r="C97" s="40" t="s">
        <v>41</v>
      </c>
      <c r="D97" s="31" t="s">
        <v>168</v>
      </c>
      <c r="E97" s="4" t="s">
        <v>71</v>
      </c>
      <c r="F97" s="4">
        <v>3</v>
      </c>
      <c r="G97" s="4">
        <v>1</v>
      </c>
      <c r="H97" s="10" t="s">
        <v>72</v>
      </c>
      <c r="I97" s="24" t="str">
        <f t="shared" ref="I97:I104" si="6">A97</f>
        <v>S1.020.104</v>
      </c>
      <c r="J97" s="31"/>
      <c r="K97" s="4"/>
      <c r="L97" s="4"/>
      <c r="M97" s="16">
        <v>1</v>
      </c>
      <c r="N97" s="5">
        <v>3</v>
      </c>
      <c r="O97" s="5"/>
      <c r="P97" s="5">
        <v>0</v>
      </c>
      <c r="Q97" s="5">
        <v>3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2</v>
      </c>
      <c r="Y97" s="5">
        <v>0</v>
      </c>
      <c r="Z97" s="5">
        <v>0</v>
      </c>
      <c r="AA97" s="5">
        <v>2</v>
      </c>
      <c r="AB97" s="5">
        <v>0</v>
      </c>
      <c r="AC97" s="5">
        <v>0</v>
      </c>
      <c r="AD97" s="56">
        <v>0</v>
      </c>
      <c r="AE97" s="20">
        <v>95</v>
      </c>
      <c r="AF97" s="142"/>
    </row>
    <row r="98" spans="1:32" ht="15">
      <c r="A98" s="47" t="s">
        <v>256</v>
      </c>
      <c r="B98" s="4" t="s">
        <v>257</v>
      </c>
      <c r="C98" s="41" t="s">
        <v>41</v>
      </c>
      <c r="D98" s="35" t="s">
        <v>168</v>
      </c>
      <c r="E98" s="4" t="s">
        <v>71</v>
      </c>
      <c r="F98" s="4">
        <v>2</v>
      </c>
      <c r="G98" s="4">
        <v>1</v>
      </c>
      <c r="H98" s="10" t="s">
        <v>72</v>
      </c>
      <c r="I98" s="24" t="str">
        <f t="shared" si="6"/>
        <v>S1.020.105</v>
      </c>
      <c r="J98" s="35"/>
      <c r="K98" s="4"/>
      <c r="L98" s="4"/>
      <c r="M98" s="16">
        <v>1</v>
      </c>
      <c r="N98" s="5">
        <v>1</v>
      </c>
      <c r="O98" s="5"/>
      <c r="P98" s="5">
        <v>0</v>
      </c>
      <c r="Q98" s="53">
        <v>1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1</v>
      </c>
      <c r="Y98" s="5">
        <v>0</v>
      </c>
      <c r="Z98" s="5">
        <v>0</v>
      </c>
      <c r="AA98" s="5">
        <v>1</v>
      </c>
      <c r="AB98" s="5">
        <v>0</v>
      </c>
      <c r="AC98" s="5">
        <v>0</v>
      </c>
      <c r="AD98" s="56">
        <v>0</v>
      </c>
      <c r="AE98" s="20">
        <v>96</v>
      </c>
      <c r="AF98" s="142"/>
    </row>
    <row r="99" spans="1:32" ht="15" customHeight="1">
      <c r="A99" s="47" t="s">
        <v>258</v>
      </c>
      <c r="B99" s="4" t="s">
        <v>259</v>
      </c>
      <c r="C99" s="41" t="s">
        <v>41</v>
      </c>
      <c r="D99" s="31" t="s">
        <v>168</v>
      </c>
      <c r="E99" s="4" t="s">
        <v>71</v>
      </c>
      <c r="F99" s="4">
        <v>2</v>
      </c>
      <c r="G99" s="10">
        <v>1</v>
      </c>
      <c r="H99" s="10" t="s">
        <v>72</v>
      </c>
      <c r="I99" s="24" t="str">
        <f t="shared" si="6"/>
        <v>S1.020.106</v>
      </c>
      <c r="J99" s="31"/>
      <c r="K99" s="4"/>
      <c r="L99" s="4"/>
      <c r="M99" s="16">
        <v>1</v>
      </c>
      <c r="N99" s="5">
        <v>1</v>
      </c>
      <c r="O99" s="5"/>
      <c r="P99" s="5">
        <v>0</v>
      </c>
      <c r="Q99" s="53">
        <v>1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1</v>
      </c>
      <c r="Y99" s="5">
        <v>0</v>
      </c>
      <c r="Z99" s="5">
        <v>0</v>
      </c>
      <c r="AA99" s="5">
        <v>1</v>
      </c>
      <c r="AB99" s="5">
        <v>0</v>
      </c>
      <c r="AC99" s="5">
        <v>0</v>
      </c>
      <c r="AD99" s="56">
        <v>0</v>
      </c>
      <c r="AE99" s="53">
        <v>97</v>
      </c>
      <c r="AF99" s="142"/>
    </row>
    <row r="100" spans="1:32" ht="15" customHeight="1">
      <c r="A100" s="47" t="s">
        <v>260</v>
      </c>
      <c r="B100" s="4" t="s">
        <v>261</v>
      </c>
      <c r="C100" s="41" t="s">
        <v>41</v>
      </c>
      <c r="D100" s="35" t="s">
        <v>168</v>
      </c>
      <c r="E100" s="4" t="s">
        <v>71</v>
      </c>
      <c r="F100" s="4">
        <v>3</v>
      </c>
      <c r="G100" s="110">
        <v>1</v>
      </c>
      <c r="H100" s="10" t="s">
        <v>72</v>
      </c>
      <c r="I100" s="24" t="str">
        <f t="shared" si="6"/>
        <v>S1.020.110</v>
      </c>
      <c r="J100" s="35"/>
      <c r="K100" s="4"/>
      <c r="L100" s="4"/>
      <c r="M100" s="16">
        <v>1</v>
      </c>
      <c r="N100" s="5">
        <v>1</v>
      </c>
      <c r="O100" s="5"/>
      <c r="P100" s="5">
        <v>0</v>
      </c>
      <c r="Q100" s="53">
        <v>1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1</v>
      </c>
      <c r="Y100" s="5">
        <v>0</v>
      </c>
      <c r="Z100" s="5">
        <v>0</v>
      </c>
      <c r="AA100" s="5">
        <v>1</v>
      </c>
      <c r="AB100" s="5">
        <v>0</v>
      </c>
      <c r="AC100" s="5">
        <v>0</v>
      </c>
      <c r="AD100" s="56">
        <v>0</v>
      </c>
      <c r="AE100" s="53">
        <v>98</v>
      </c>
      <c r="AF100" s="142"/>
    </row>
    <row r="101" spans="1:32" ht="15" customHeight="1">
      <c r="A101" s="47" t="s">
        <v>262</v>
      </c>
      <c r="B101" s="4" t="s">
        <v>263</v>
      </c>
      <c r="C101" s="40" t="s">
        <v>41</v>
      </c>
      <c r="D101" s="31" t="s">
        <v>168</v>
      </c>
      <c r="E101" s="4" t="s">
        <v>71</v>
      </c>
      <c r="F101" s="4">
        <v>3</v>
      </c>
      <c r="G101" s="4">
        <v>1</v>
      </c>
      <c r="H101" s="10" t="s">
        <v>72</v>
      </c>
      <c r="I101" s="24" t="str">
        <f t="shared" si="6"/>
        <v>S1.020.111</v>
      </c>
      <c r="J101" s="31"/>
      <c r="K101" s="4"/>
      <c r="L101" s="4"/>
      <c r="M101" s="16">
        <v>1</v>
      </c>
      <c r="N101" s="5">
        <v>2</v>
      </c>
      <c r="O101" s="5"/>
      <c r="P101" s="5">
        <v>0</v>
      </c>
      <c r="Q101" s="5">
        <v>2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1</v>
      </c>
      <c r="Y101" s="5">
        <v>0</v>
      </c>
      <c r="Z101" s="5">
        <v>0</v>
      </c>
      <c r="AA101" s="5">
        <v>1</v>
      </c>
      <c r="AB101" s="5">
        <v>0</v>
      </c>
      <c r="AC101" s="5">
        <v>0</v>
      </c>
      <c r="AD101" s="56">
        <v>0</v>
      </c>
      <c r="AE101" s="53">
        <v>99</v>
      </c>
      <c r="AF101" s="142"/>
    </row>
    <row r="102" spans="1:32" ht="15" customHeight="1">
      <c r="A102" s="47" t="s">
        <v>264</v>
      </c>
      <c r="B102" s="4" t="s">
        <v>265</v>
      </c>
      <c r="C102" s="40" t="s">
        <v>41</v>
      </c>
      <c r="D102" s="35" t="s">
        <v>168</v>
      </c>
      <c r="E102" s="4" t="s">
        <v>71</v>
      </c>
      <c r="F102" s="4">
        <v>2</v>
      </c>
      <c r="G102" s="4">
        <v>1</v>
      </c>
      <c r="H102" s="10" t="s">
        <v>72</v>
      </c>
      <c r="I102" s="24" t="str">
        <f t="shared" si="6"/>
        <v>S1.020.115</v>
      </c>
      <c r="J102" s="35"/>
      <c r="K102" s="4"/>
      <c r="L102" s="4"/>
      <c r="M102" s="16">
        <v>1</v>
      </c>
      <c r="N102" s="5">
        <v>1</v>
      </c>
      <c r="O102" s="5"/>
      <c r="P102" s="5">
        <v>0</v>
      </c>
      <c r="Q102" s="53">
        <v>1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1</v>
      </c>
      <c r="Y102" s="5">
        <v>0</v>
      </c>
      <c r="Z102" s="5">
        <v>0</v>
      </c>
      <c r="AA102" s="5">
        <v>1</v>
      </c>
      <c r="AB102" s="5">
        <v>0</v>
      </c>
      <c r="AC102" s="5">
        <v>0</v>
      </c>
      <c r="AD102" s="56">
        <v>0</v>
      </c>
      <c r="AE102" s="20">
        <v>100</v>
      </c>
      <c r="AF102" s="142"/>
    </row>
    <row r="103" spans="1:32" ht="15" customHeight="1">
      <c r="A103" s="47" t="s">
        <v>266</v>
      </c>
      <c r="B103" s="4" t="s">
        <v>267</v>
      </c>
      <c r="C103" s="41" t="s">
        <v>41</v>
      </c>
      <c r="D103" s="31" t="s">
        <v>168</v>
      </c>
      <c r="E103" s="4" t="s">
        <v>71</v>
      </c>
      <c r="F103" s="4">
        <v>2</v>
      </c>
      <c r="G103" s="4">
        <v>1</v>
      </c>
      <c r="H103" s="10" t="s">
        <v>72</v>
      </c>
      <c r="I103" s="24" t="str">
        <f t="shared" si="6"/>
        <v>S1.020.119</v>
      </c>
      <c r="J103" s="31"/>
      <c r="K103" s="4"/>
      <c r="L103" s="4"/>
      <c r="M103" s="16">
        <v>1</v>
      </c>
      <c r="N103" s="5">
        <v>1</v>
      </c>
      <c r="O103" s="5"/>
      <c r="P103" s="5">
        <v>0</v>
      </c>
      <c r="Q103" s="53">
        <v>1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1</v>
      </c>
      <c r="Y103" s="5">
        <v>0</v>
      </c>
      <c r="Z103" s="5">
        <v>0</v>
      </c>
      <c r="AA103" s="5">
        <v>1</v>
      </c>
      <c r="AB103" s="5">
        <v>0</v>
      </c>
      <c r="AC103" s="5">
        <v>0</v>
      </c>
      <c r="AD103" s="56">
        <v>0</v>
      </c>
      <c r="AE103" s="20">
        <v>101</v>
      </c>
      <c r="AF103" s="142"/>
    </row>
    <row r="104" spans="1:32" ht="15" customHeight="1">
      <c r="A104" s="47" t="s">
        <v>268</v>
      </c>
      <c r="B104" s="4" t="s">
        <v>269</v>
      </c>
      <c r="C104" s="41" t="s">
        <v>41</v>
      </c>
      <c r="D104" s="35" t="s">
        <v>168</v>
      </c>
      <c r="E104" s="4" t="s">
        <v>71</v>
      </c>
      <c r="F104" s="4">
        <v>1</v>
      </c>
      <c r="G104" s="4">
        <v>1</v>
      </c>
      <c r="H104" s="4" t="s">
        <v>72</v>
      </c>
      <c r="I104" s="24" t="str">
        <f t="shared" si="6"/>
        <v>S1.020.134</v>
      </c>
      <c r="J104" s="35"/>
      <c r="K104" s="4"/>
      <c r="L104" s="4"/>
      <c r="M104" s="16">
        <v>1</v>
      </c>
      <c r="N104" s="5">
        <v>1</v>
      </c>
      <c r="O104" s="5"/>
      <c r="P104" s="5">
        <v>0</v>
      </c>
      <c r="Q104" s="53">
        <v>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1</v>
      </c>
      <c r="AB104" s="5">
        <v>0</v>
      </c>
      <c r="AC104" s="5">
        <v>0</v>
      </c>
      <c r="AD104" s="56">
        <v>0</v>
      </c>
      <c r="AE104" s="53">
        <v>102</v>
      </c>
      <c r="AF104" s="142"/>
    </row>
    <row r="105" spans="1:32" ht="15" customHeight="1">
      <c r="A105" s="47" t="s">
        <v>270</v>
      </c>
      <c r="B105" s="4" t="s">
        <v>271</v>
      </c>
      <c r="C105" s="41" t="s">
        <v>41</v>
      </c>
      <c r="D105" s="31" t="s">
        <v>168</v>
      </c>
      <c r="E105" s="4" t="s">
        <v>71</v>
      </c>
      <c r="F105" s="4">
        <v>1</v>
      </c>
      <c r="G105" s="4">
        <v>1</v>
      </c>
      <c r="H105" s="4"/>
      <c r="I105" s="29" t="s">
        <v>272</v>
      </c>
      <c r="J105" s="31"/>
      <c r="K105" s="4"/>
      <c r="L105" s="4"/>
      <c r="M105" s="16">
        <v>1</v>
      </c>
      <c r="N105" s="5">
        <v>1</v>
      </c>
      <c r="O105" s="5"/>
      <c r="P105" s="5">
        <v>0</v>
      </c>
      <c r="Q105" s="53">
        <v>1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</v>
      </c>
      <c r="Y105" s="5">
        <v>0</v>
      </c>
      <c r="Z105" s="5">
        <v>0</v>
      </c>
      <c r="AA105" s="5">
        <v>1</v>
      </c>
      <c r="AB105" s="5">
        <v>0</v>
      </c>
      <c r="AC105" s="5">
        <v>0</v>
      </c>
      <c r="AD105" s="56">
        <v>0</v>
      </c>
      <c r="AE105" s="53">
        <v>103</v>
      </c>
      <c r="AF105" s="142"/>
    </row>
    <row r="106" spans="1:32" ht="15" customHeight="1">
      <c r="A106" s="47" t="s">
        <v>273</v>
      </c>
      <c r="B106" s="4" t="s">
        <v>274</v>
      </c>
      <c r="C106" s="40" t="s">
        <v>41</v>
      </c>
      <c r="D106" s="35" t="s">
        <v>168</v>
      </c>
      <c r="E106" s="4" t="s">
        <v>71</v>
      </c>
      <c r="F106" s="4">
        <v>1</v>
      </c>
      <c r="G106" s="4">
        <v>1</v>
      </c>
      <c r="H106" s="4" t="s">
        <v>72</v>
      </c>
      <c r="I106" s="24" t="str">
        <f>A106</f>
        <v>S1.020.137</v>
      </c>
      <c r="J106" s="35"/>
      <c r="K106" s="4"/>
      <c r="L106" s="4"/>
      <c r="M106" s="16">
        <v>1</v>
      </c>
      <c r="N106" s="5">
        <v>3</v>
      </c>
      <c r="O106" s="5"/>
      <c r="P106" s="5">
        <v>0</v>
      </c>
      <c r="Q106" s="5">
        <v>3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3</v>
      </c>
      <c r="Y106" s="5">
        <v>0</v>
      </c>
      <c r="Z106" s="5">
        <v>0</v>
      </c>
      <c r="AA106" s="5">
        <v>3</v>
      </c>
      <c r="AB106" s="5">
        <v>0</v>
      </c>
      <c r="AC106" s="5">
        <v>0</v>
      </c>
      <c r="AD106" s="56">
        <v>0</v>
      </c>
      <c r="AE106" s="53">
        <v>104</v>
      </c>
      <c r="AF106" s="142"/>
    </row>
    <row r="107" spans="1:32" ht="15" customHeight="1">
      <c r="A107" s="47" t="s">
        <v>275</v>
      </c>
      <c r="B107" s="4" t="s">
        <v>276</v>
      </c>
      <c r="C107" s="40" t="s">
        <v>41</v>
      </c>
      <c r="D107" s="31" t="s">
        <v>168</v>
      </c>
      <c r="E107" s="4" t="s">
        <v>71</v>
      </c>
      <c r="F107" s="4">
        <v>1</v>
      </c>
      <c r="G107" s="4">
        <v>1</v>
      </c>
      <c r="H107" s="4"/>
      <c r="I107" s="29" t="s">
        <v>272</v>
      </c>
      <c r="J107" s="31"/>
      <c r="K107" s="4"/>
      <c r="L107" s="4"/>
      <c r="M107" s="16">
        <v>1</v>
      </c>
      <c r="N107" s="5">
        <v>1</v>
      </c>
      <c r="O107" s="5"/>
      <c r="P107" s="5">
        <v>0</v>
      </c>
      <c r="Q107" s="53">
        <v>1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1</v>
      </c>
      <c r="Y107" s="5">
        <v>0</v>
      </c>
      <c r="Z107" s="5">
        <v>0</v>
      </c>
      <c r="AA107" s="5">
        <v>1</v>
      </c>
      <c r="AB107" s="5">
        <v>0</v>
      </c>
      <c r="AC107" s="5">
        <v>0</v>
      </c>
      <c r="AD107" s="56">
        <v>0</v>
      </c>
      <c r="AE107" s="20">
        <v>105</v>
      </c>
      <c r="AF107" s="142"/>
    </row>
    <row r="108" spans="1:32" ht="15" customHeight="1">
      <c r="A108" s="47" t="s">
        <v>277</v>
      </c>
      <c r="B108" s="4" t="s">
        <v>278</v>
      </c>
      <c r="C108" s="41" t="s">
        <v>41</v>
      </c>
      <c r="D108" s="35" t="s">
        <v>168</v>
      </c>
      <c r="E108" s="4" t="s">
        <v>71</v>
      </c>
      <c r="F108" s="4">
        <v>1</v>
      </c>
      <c r="G108" s="4">
        <v>1</v>
      </c>
      <c r="H108" s="4"/>
      <c r="I108" s="29" t="s">
        <v>272</v>
      </c>
      <c r="J108" s="35"/>
      <c r="K108" s="4"/>
      <c r="L108" s="4"/>
      <c r="M108" s="16">
        <v>1</v>
      </c>
      <c r="N108" s="5">
        <v>1</v>
      </c>
      <c r="O108" s="5"/>
      <c r="P108" s="5">
        <v>0</v>
      </c>
      <c r="Q108" s="53">
        <v>1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1</v>
      </c>
      <c r="Y108" s="5">
        <v>0</v>
      </c>
      <c r="Z108" s="5">
        <v>0</v>
      </c>
      <c r="AA108" s="5">
        <v>1</v>
      </c>
      <c r="AB108" s="5">
        <v>0</v>
      </c>
      <c r="AC108" s="5">
        <v>0</v>
      </c>
      <c r="AD108" s="56">
        <v>0</v>
      </c>
      <c r="AE108" s="20">
        <v>106</v>
      </c>
      <c r="AF108" s="142"/>
    </row>
    <row r="109" spans="1:32" ht="15" customHeight="1">
      <c r="A109" s="47" t="s">
        <v>279</v>
      </c>
      <c r="B109" s="4" t="s">
        <v>280</v>
      </c>
      <c r="C109" s="41" t="s">
        <v>41</v>
      </c>
      <c r="D109" s="31" t="s">
        <v>168</v>
      </c>
      <c r="E109" s="4" t="s">
        <v>71</v>
      </c>
      <c r="F109" s="4">
        <v>1</v>
      </c>
      <c r="G109" s="4">
        <v>1</v>
      </c>
      <c r="H109" s="4" t="s">
        <v>72</v>
      </c>
      <c r="I109" s="24" t="str">
        <f>A109</f>
        <v>S1.020.141</v>
      </c>
      <c r="J109" s="31"/>
      <c r="K109" s="4"/>
      <c r="L109" s="4"/>
      <c r="M109" s="16">
        <v>1</v>
      </c>
      <c r="N109" s="5">
        <v>1</v>
      </c>
      <c r="O109" s="5"/>
      <c r="P109" s="5">
        <v>0</v>
      </c>
      <c r="Q109" s="53">
        <v>1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1</v>
      </c>
      <c r="Y109" s="5">
        <v>0</v>
      </c>
      <c r="Z109" s="5">
        <v>0</v>
      </c>
      <c r="AA109" s="5">
        <v>1</v>
      </c>
      <c r="AB109" s="5">
        <v>0</v>
      </c>
      <c r="AC109" s="5">
        <v>0</v>
      </c>
      <c r="AD109" s="56">
        <v>0</v>
      </c>
      <c r="AE109" s="53">
        <v>107</v>
      </c>
      <c r="AF109" s="142"/>
    </row>
    <row r="110" spans="1:32" ht="15" customHeight="1">
      <c r="A110" s="47" t="s">
        <v>281</v>
      </c>
      <c r="B110" s="4" t="s">
        <v>282</v>
      </c>
      <c r="C110" s="41" t="s">
        <v>41</v>
      </c>
      <c r="D110" s="35" t="s">
        <v>168</v>
      </c>
      <c r="E110" s="4" t="s">
        <v>71</v>
      </c>
      <c r="F110" s="4">
        <v>4</v>
      </c>
      <c r="G110" s="4">
        <v>1</v>
      </c>
      <c r="H110" s="4" t="s">
        <v>72</v>
      </c>
      <c r="I110" s="24" t="str">
        <f>A110</f>
        <v>S1.030.105</v>
      </c>
      <c r="J110" s="35"/>
      <c r="K110" s="4"/>
      <c r="L110" s="4"/>
      <c r="M110" s="16">
        <v>1</v>
      </c>
      <c r="N110" s="5">
        <v>1</v>
      </c>
      <c r="O110" s="5"/>
      <c r="P110" s="5">
        <v>0</v>
      </c>
      <c r="Q110" s="53">
        <v>1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</v>
      </c>
      <c r="Y110" s="5">
        <v>0</v>
      </c>
      <c r="Z110" s="5">
        <v>0</v>
      </c>
      <c r="AA110" s="5">
        <v>3</v>
      </c>
      <c r="AB110" s="5">
        <v>0</v>
      </c>
      <c r="AC110" s="5">
        <v>0</v>
      </c>
      <c r="AD110" s="56">
        <v>0</v>
      </c>
      <c r="AE110" s="53">
        <v>108</v>
      </c>
      <c r="AF110" s="142"/>
    </row>
    <row r="111" spans="1:32" ht="15" customHeight="1">
      <c r="A111" s="47" t="s">
        <v>283</v>
      </c>
      <c r="B111" s="4" t="s">
        <v>284</v>
      </c>
      <c r="C111" s="40" t="s">
        <v>41</v>
      </c>
      <c r="D111" s="31" t="s">
        <v>168</v>
      </c>
      <c r="E111" s="4" t="s">
        <v>71</v>
      </c>
      <c r="F111" s="4">
        <v>4</v>
      </c>
      <c r="G111" s="4">
        <v>1</v>
      </c>
      <c r="H111" s="4" t="s">
        <v>72</v>
      </c>
      <c r="I111" s="24" t="str">
        <f>A111</f>
        <v>S1.030.110</v>
      </c>
      <c r="J111" s="31"/>
      <c r="K111" s="4"/>
      <c r="L111" s="4"/>
      <c r="M111" s="16">
        <v>1</v>
      </c>
      <c r="N111" s="5">
        <v>1</v>
      </c>
      <c r="O111" s="5"/>
      <c r="P111" s="5">
        <v>0</v>
      </c>
      <c r="Q111" s="53">
        <v>1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1</v>
      </c>
      <c r="Y111" s="5">
        <v>0</v>
      </c>
      <c r="Z111" s="5">
        <v>0</v>
      </c>
      <c r="AA111" s="5">
        <v>1</v>
      </c>
      <c r="AB111" s="5">
        <v>0</v>
      </c>
      <c r="AC111" s="5">
        <v>0</v>
      </c>
      <c r="AD111" s="56">
        <v>0</v>
      </c>
      <c r="AE111" s="53">
        <v>109</v>
      </c>
      <c r="AF111" s="142"/>
    </row>
    <row r="112" spans="1:32" ht="15" customHeight="1">
      <c r="A112" s="47" t="s">
        <v>285</v>
      </c>
      <c r="B112" s="4" t="s">
        <v>286</v>
      </c>
      <c r="C112" s="40" t="s">
        <v>41</v>
      </c>
      <c r="D112" s="35" t="s">
        <v>168</v>
      </c>
      <c r="E112" s="4" t="s">
        <v>83</v>
      </c>
      <c r="F112" s="4">
        <v>2</v>
      </c>
      <c r="G112" s="4">
        <v>1</v>
      </c>
      <c r="H112" s="4" t="s">
        <v>84</v>
      </c>
      <c r="I112" s="29" t="s">
        <v>287</v>
      </c>
      <c r="J112" s="35"/>
      <c r="K112" s="4"/>
      <c r="L112" s="4"/>
      <c r="M112" s="16">
        <v>1</v>
      </c>
      <c r="N112" s="5">
        <v>1</v>
      </c>
      <c r="O112" s="5"/>
      <c r="P112" s="5">
        <v>0</v>
      </c>
      <c r="Q112" s="53">
        <v>1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1</v>
      </c>
      <c r="Y112" s="5">
        <v>0</v>
      </c>
      <c r="Z112" s="5">
        <v>0</v>
      </c>
      <c r="AA112" s="5">
        <v>1</v>
      </c>
      <c r="AB112" s="5">
        <v>0</v>
      </c>
      <c r="AC112" s="5">
        <v>0</v>
      </c>
      <c r="AD112" s="56">
        <v>0</v>
      </c>
      <c r="AE112" s="20">
        <v>110</v>
      </c>
      <c r="AF112" s="142"/>
    </row>
    <row r="113" spans="1:32" ht="15" customHeight="1">
      <c r="A113" s="47" t="s">
        <v>288</v>
      </c>
      <c r="B113" s="4" t="s">
        <v>289</v>
      </c>
      <c r="C113" s="41" t="s">
        <v>41</v>
      </c>
      <c r="D113" s="31" t="s">
        <v>168</v>
      </c>
      <c r="E113" s="4" t="s">
        <v>83</v>
      </c>
      <c r="F113" s="4">
        <v>2</v>
      </c>
      <c r="G113" s="10">
        <v>1</v>
      </c>
      <c r="H113" s="4" t="s">
        <v>84</v>
      </c>
      <c r="I113" s="24" t="str">
        <f t="shared" ref="I113:I120" si="7">A113</f>
        <v>S2.020.204</v>
      </c>
      <c r="J113" s="31"/>
      <c r="K113" s="4"/>
      <c r="L113" s="4"/>
      <c r="M113" s="16">
        <v>1</v>
      </c>
      <c r="N113" s="5">
        <v>3</v>
      </c>
      <c r="O113" s="5"/>
      <c r="P113" s="5">
        <v>0</v>
      </c>
      <c r="Q113" s="5">
        <v>3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2</v>
      </c>
      <c r="AB113" s="5">
        <v>0</v>
      </c>
      <c r="AC113" s="5">
        <v>0</v>
      </c>
      <c r="AD113" s="56">
        <v>0</v>
      </c>
      <c r="AE113" s="20">
        <v>111</v>
      </c>
      <c r="AF113" s="142"/>
    </row>
    <row r="114" spans="1:32" ht="15" customHeight="1">
      <c r="A114" s="47" t="s">
        <v>290</v>
      </c>
      <c r="B114" s="4" t="s">
        <v>291</v>
      </c>
      <c r="C114" s="41" t="s">
        <v>41</v>
      </c>
      <c r="D114" s="35" t="s">
        <v>168</v>
      </c>
      <c r="E114" s="4" t="s">
        <v>83</v>
      </c>
      <c r="F114" s="4">
        <v>2</v>
      </c>
      <c r="G114" s="110">
        <v>1</v>
      </c>
      <c r="H114" s="4" t="s">
        <v>84</v>
      </c>
      <c r="I114" s="24" t="str">
        <f t="shared" si="7"/>
        <v>S2.020.205</v>
      </c>
      <c r="J114" s="35"/>
      <c r="K114" s="4"/>
      <c r="L114" s="4"/>
      <c r="M114" s="16">
        <v>1</v>
      </c>
      <c r="N114" s="5">
        <v>1</v>
      </c>
      <c r="O114" s="5"/>
      <c r="P114" s="5">
        <v>0</v>
      </c>
      <c r="Q114" s="53">
        <v>1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1</v>
      </c>
      <c r="AB114" s="5">
        <v>0</v>
      </c>
      <c r="AC114" s="5">
        <v>0</v>
      </c>
      <c r="AD114" s="56">
        <v>0</v>
      </c>
      <c r="AE114" s="53">
        <v>112</v>
      </c>
      <c r="AF114" s="142"/>
    </row>
    <row r="115" spans="1:32" ht="15" customHeight="1">
      <c r="A115" s="47" t="s">
        <v>292</v>
      </c>
      <c r="B115" s="4" t="s">
        <v>293</v>
      </c>
      <c r="C115" s="41" t="s">
        <v>41</v>
      </c>
      <c r="D115" s="31" t="s">
        <v>168</v>
      </c>
      <c r="E115" s="4" t="s">
        <v>83</v>
      </c>
      <c r="F115" s="4">
        <v>3</v>
      </c>
      <c r="G115" s="4">
        <v>1</v>
      </c>
      <c r="H115" s="4" t="s">
        <v>84</v>
      </c>
      <c r="I115" s="24" t="str">
        <f t="shared" si="7"/>
        <v>S2.020.206</v>
      </c>
      <c r="J115" s="31"/>
      <c r="K115" s="4"/>
      <c r="L115" s="4"/>
      <c r="M115" s="16">
        <v>1</v>
      </c>
      <c r="N115" s="5">
        <v>1</v>
      </c>
      <c r="O115" s="5"/>
      <c r="P115" s="5">
        <v>0</v>
      </c>
      <c r="Q115" s="53">
        <v>1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2</v>
      </c>
      <c r="Y115" s="5">
        <v>0</v>
      </c>
      <c r="Z115" s="5">
        <v>0</v>
      </c>
      <c r="AA115" s="5">
        <v>1</v>
      </c>
      <c r="AB115" s="5">
        <v>0</v>
      </c>
      <c r="AC115" s="5">
        <v>0</v>
      </c>
      <c r="AD115" s="56">
        <v>0</v>
      </c>
      <c r="AE115" s="53">
        <v>113</v>
      </c>
      <c r="AF115" s="142"/>
    </row>
    <row r="116" spans="1:32" ht="15" customHeight="1">
      <c r="A116" s="47" t="s">
        <v>294</v>
      </c>
      <c r="B116" s="4" t="s">
        <v>295</v>
      </c>
      <c r="C116" s="40" t="s">
        <v>41</v>
      </c>
      <c r="D116" s="35" t="s">
        <v>168</v>
      </c>
      <c r="E116" s="4" t="s">
        <v>83</v>
      </c>
      <c r="F116" s="4">
        <v>3</v>
      </c>
      <c r="G116" s="4">
        <v>1</v>
      </c>
      <c r="H116" s="4" t="s">
        <v>84</v>
      </c>
      <c r="I116" s="24" t="str">
        <f t="shared" si="7"/>
        <v>S2.020.210</v>
      </c>
      <c r="J116" s="35"/>
      <c r="K116" s="4"/>
      <c r="L116" s="4"/>
      <c r="M116" s="16">
        <v>1</v>
      </c>
      <c r="N116" s="5">
        <v>1</v>
      </c>
      <c r="O116" s="5"/>
      <c r="P116" s="5">
        <v>0</v>
      </c>
      <c r="Q116" s="53">
        <v>1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</v>
      </c>
      <c r="Y116" s="5">
        <v>0</v>
      </c>
      <c r="Z116" s="5">
        <v>0</v>
      </c>
      <c r="AA116" s="5">
        <v>1</v>
      </c>
      <c r="AB116" s="5">
        <v>0</v>
      </c>
      <c r="AC116" s="5">
        <v>0</v>
      </c>
      <c r="AD116" s="56">
        <v>0</v>
      </c>
      <c r="AE116" s="53">
        <v>114</v>
      </c>
      <c r="AF116" s="142"/>
    </row>
    <row r="117" spans="1:32" ht="15" customHeight="1">
      <c r="A117" s="47" t="s">
        <v>296</v>
      </c>
      <c r="B117" s="4" t="s">
        <v>297</v>
      </c>
      <c r="C117" s="40" t="s">
        <v>41</v>
      </c>
      <c r="D117" s="31" t="s">
        <v>168</v>
      </c>
      <c r="E117" s="4" t="s">
        <v>83</v>
      </c>
      <c r="F117" s="4">
        <v>3</v>
      </c>
      <c r="G117" s="4">
        <v>1</v>
      </c>
      <c r="H117" s="4" t="s">
        <v>84</v>
      </c>
      <c r="I117" s="24" t="str">
        <f t="shared" si="7"/>
        <v>S2.020.211</v>
      </c>
      <c r="J117" s="31"/>
      <c r="K117" s="4"/>
      <c r="L117" s="4"/>
      <c r="M117" s="16">
        <v>1</v>
      </c>
      <c r="N117" s="5">
        <v>2</v>
      </c>
      <c r="O117" s="5"/>
      <c r="P117" s="5">
        <v>0</v>
      </c>
      <c r="Q117" s="5">
        <v>2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1</v>
      </c>
      <c r="AB117" s="5">
        <v>0</v>
      </c>
      <c r="AC117" s="5">
        <v>0</v>
      </c>
      <c r="AD117" s="56">
        <v>0</v>
      </c>
      <c r="AE117" s="20">
        <v>115</v>
      </c>
      <c r="AF117" s="142"/>
    </row>
    <row r="118" spans="1:32" ht="15" customHeight="1">
      <c r="A118" s="47" t="s">
        <v>298</v>
      </c>
      <c r="B118" s="4" t="s">
        <v>299</v>
      </c>
      <c r="C118" s="41" t="s">
        <v>41</v>
      </c>
      <c r="D118" s="35" t="s">
        <v>168</v>
      </c>
      <c r="E118" s="4" t="s">
        <v>83</v>
      </c>
      <c r="F118" s="4">
        <v>2</v>
      </c>
      <c r="G118" s="4">
        <v>1</v>
      </c>
      <c r="H118" s="4" t="s">
        <v>84</v>
      </c>
      <c r="I118" s="24" t="str">
        <f t="shared" si="7"/>
        <v>S2.020.215</v>
      </c>
      <c r="J118" s="35"/>
      <c r="K118" s="4"/>
      <c r="L118" s="4"/>
      <c r="M118" s="16">
        <v>1</v>
      </c>
      <c r="N118" s="5">
        <v>1</v>
      </c>
      <c r="O118" s="5"/>
      <c r="P118" s="5">
        <v>0</v>
      </c>
      <c r="Q118" s="53">
        <v>1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1</v>
      </c>
      <c r="Y118" s="5">
        <v>0</v>
      </c>
      <c r="Z118" s="5">
        <v>0</v>
      </c>
      <c r="AA118" s="5">
        <v>1</v>
      </c>
      <c r="AB118" s="5">
        <v>0</v>
      </c>
      <c r="AC118" s="5">
        <v>0</v>
      </c>
      <c r="AD118" s="56">
        <v>0</v>
      </c>
      <c r="AE118" s="20">
        <v>116</v>
      </c>
      <c r="AF118" s="142"/>
    </row>
    <row r="119" spans="1:32" ht="15" customHeight="1">
      <c r="A119" s="47" t="s">
        <v>300</v>
      </c>
      <c r="B119" s="4" t="s">
        <v>301</v>
      </c>
      <c r="C119" s="41" t="s">
        <v>41</v>
      </c>
      <c r="D119" s="31" t="s">
        <v>168</v>
      </c>
      <c r="E119" s="4" t="s">
        <v>83</v>
      </c>
      <c r="F119" s="4">
        <v>2</v>
      </c>
      <c r="G119" s="4">
        <v>1</v>
      </c>
      <c r="H119" s="4" t="s">
        <v>84</v>
      </c>
      <c r="I119" s="24" t="str">
        <f t="shared" si="7"/>
        <v>S2.020.219</v>
      </c>
      <c r="J119" s="31"/>
      <c r="K119" s="4"/>
      <c r="L119" s="4"/>
      <c r="M119" s="16">
        <v>1</v>
      </c>
      <c r="N119" s="5">
        <v>1</v>
      </c>
      <c r="O119" s="5"/>
      <c r="P119" s="5">
        <v>0</v>
      </c>
      <c r="Q119" s="53">
        <v>1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</v>
      </c>
      <c r="Y119" s="5">
        <v>0</v>
      </c>
      <c r="Z119" s="5">
        <v>0</v>
      </c>
      <c r="AA119" s="5">
        <v>1</v>
      </c>
      <c r="AB119" s="5">
        <v>0</v>
      </c>
      <c r="AC119" s="5">
        <v>0</v>
      </c>
      <c r="AD119" s="56">
        <v>0</v>
      </c>
      <c r="AE119" s="53">
        <v>117</v>
      </c>
      <c r="AF119" s="142"/>
    </row>
    <row r="120" spans="1:32" ht="15" customHeight="1">
      <c r="A120" s="47" t="s">
        <v>302</v>
      </c>
      <c r="B120" s="4" t="s">
        <v>303</v>
      </c>
      <c r="C120" s="41" t="s">
        <v>41</v>
      </c>
      <c r="D120" s="35" t="s">
        <v>168</v>
      </c>
      <c r="E120" s="4" t="s">
        <v>83</v>
      </c>
      <c r="F120" s="4">
        <v>1</v>
      </c>
      <c r="G120" s="4">
        <v>1</v>
      </c>
      <c r="H120" s="4" t="s">
        <v>84</v>
      </c>
      <c r="I120" s="24" t="str">
        <f t="shared" si="7"/>
        <v>S2.020.234</v>
      </c>
      <c r="J120" s="35"/>
      <c r="K120" s="4"/>
      <c r="L120" s="4"/>
      <c r="M120" s="16">
        <v>1</v>
      </c>
      <c r="N120" s="5">
        <v>1</v>
      </c>
      <c r="O120" s="5"/>
      <c r="P120" s="5">
        <v>0</v>
      </c>
      <c r="Q120" s="53">
        <v>1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1</v>
      </c>
      <c r="Y120" s="5">
        <v>0</v>
      </c>
      <c r="Z120" s="5">
        <v>0</v>
      </c>
      <c r="AA120" s="5">
        <v>1</v>
      </c>
      <c r="AB120" s="5">
        <v>0</v>
      </c>
      <c r="AC120" s="5">
        <v>0</v>
      </c>
      <c r="AD120" s="56">
        <v>0</v>
      </c>
      <c r="AE120" s="53">
        <v>118</v>
      </c>
      <c r="AF120" s="142"/>
    </row>
    <row r="121" spans="1:32" ht="15">
      <c r="A121" s="47" t="s">
        <v>304</v>
      </c>
      <c r="B121" s="4" t="s">
        <v>305</v>
      </c>
      <c r="C121" s="40" t="s">
        <v>41</v>
      </c>
      <c r="D121" s="31" t="s">
        <v>168</v>
      </c>
      <c r="E121" s="4" t="s">
        <v>83</v>
      </c>
      <c r="F121" s="4">
        <v>1</v>
      </c>
      <c r="G121" s="4">
        <v>1</v>
      </c>
      <c r="H121" s="4"/>
      <c r="I121" s="29" t="s">
        <v>306</v>
      </c>
      <c r="J121" s="31"/>
      <c r="K121" s="4"/>
      <c r="L121" s="4"/>
      <c r="M121" s="16">
        <v>1</v>
      </c>
      <c r="N121" s="5">
        <v>1</v>
      </c>
      <c r="O121" s="5"/>
      <c r="P121" s="5">
        <v>0</v>
      </c>
      <c r="Q121" s="53">
        <v>1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1</v>
      </c>
      <c r="Y121" s="5">
        <v>0</v>
      </c>
      <c r="Z121" s="5">
        <v>0</v>
      </c>
      <c r="AA121" s="5">
        <v>1</v>
      </c>
      <c r="AB121" s="5">
        <v>0</v>
      </c>
      <c r="AC121" s="5">
        <v>0</v>
      </c>
      <c r="AD121" s="56">
        <v>0</v>
      </c>
      <c r="AE121" s="53">
        <v>119</v>
      </c>
      <c r="AF121" s="142"/>
    </row>
    <row r="122" spans="1:32" ht="15">
      <c r="A122" s="47" t="s">
        <v>307</v>
      </c>
      <c r="B122" s="4" t="s">
        <v>308</v>
      </c>
      <c r="C122" s="40" t="s">
        <v>41</v>
      </c>
      <c r="D122" s="35" t="s">
        <v>168</v>
      </c>
      <c r="E122" s="4" t="s">
        <v>83</v>
      </c>
      <c r="F122" s="4">
        <v>1</v>
      </c>
      <c r="G122" s="4">
        <v>1</v>
      </c>
      <c r="H122" s="4" t="s">
        <v>84</v>
      </c>
      <c r="I122" s="24" t="str">
        <f>A122</f>
        <v>S2.020.237</v>
      </c>
      <c r="J122" s="35"/>
      <c r="K122" s="4"/>
      <c r="L122" s="4"/>
      <c r="M122" s="16">
        <v>1</v>
      </c>
      <c r="N122" s="5">
        <v>3</v>
      </c>
      <c r="O122" s="5"/>
      <c r="P122" s="5">
        <v>0</v>
      </c>
      <c r="Q122" s="5">
        <v>3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3</v>
      </c>
      <c r="Y122" s="5">
        <v>0</v>
      </c>
      <c r="Z122" s="5">
        <v>0</v>
      </c>
      <c r="AA122" s="5">
        <v>3</v>
      </c>
      <c r="AB122" s="5">
        <v>0</v>
      </c>
      <c r="AC122" s="5">
        <v>0</v>
      </c>
      <c r="AD122" s="56">
        <v>0</v>
      </c>
      <c r="AE122" s="20">
        <v>120</v>
      </c>
      <c r="AF122" s="142"/>
    </row>
    <row r="123" spans="1:32" ht="15">
      <c r="A123" s="47" t="s">
        <v>309</v>
      </c>
      <c r="B123" s="4" t="s">
        <v>310</v>
      </c>
      <c r="C123" s="41" t="s">
        <v>41</v>
      </c>
      <c r="D123" s="31" t="s">
        <v>168</v>
      </c>
      <c r="E123" s="4" t="s">
        <v>83</v>
      </c>
      <c r="F123" s="4">
        <v>1</v>
      </c>
      <c r="G123" s="4">
        <v>1</v>
      </c>
      <c r="H123" s="4"/>
      <c r="I123" s="29" t="s">
        <v>306</v>
      </c>
      <c r="J123" s="31"/>
      <c r="K123" s="4"/>
      <c r="L123" s="4"/>
      <c r="M123" s="16">
        <v>1</v>
      </c>
      <c r="N123" s="5">
        <v>1</v>
      </c>
      <c r="O123" s="5"/>
      <c r="P123" s="5">
        <v>0</v>
      </c>
      <c r="Q123" s="53">
        <v>1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1</v>
      </c>
      <c r="Y123" s="5">
        <v>0</v>
      </c>
      <c r="Z123" s="5">
        <v>0</v>
      </c>
      <c r="AA123" s="5">
        <v>1</v>
      </c>
      <c r="AB123" s="5">
        <v>0</v>
      </c>
      <c r="AC123" s="5">
        <v>0</v>
      </c>
      <c r="AD123" s="56">
        <v>0</v>
      </c>
      <c r="AE123" s="20">
        <v>121</v>
      </c>
      <c r="AF123" s="142"/>
    </row>
    <row r="124" spans="1:32" ht="15">
      <c r="A124" s="47" t="s">
        <v>311</v>
      </c>
      <c r="B124" s="4" t="s">
        <v>312</v>
      </c>
      <c r="C124" s="41" t="s">
        <v>41</v>
      </c>
      <c r="D124" s="35" t="s">
        <v>168</v>
      </c>
      <c r="E124" s="4" t="s">
        <v>83</v>
      </c>
      <c r="F124" s="4">
        <v>1</v>
      </c>
      <c r="G124" s="4">
        <v>1</v>
      </c>
      <c r="H124" s="4"/>
      <c r="I124" s="29" t="s">
        <v>306</v>
      </c>
      <c r="J124" s="35"/>
      <c r="K124" s="4"/>
      <c r="L124" s="4"/>
      <c r="M124" s="16">
        <v>1</v>
      </c>
      <c r="N124" s="5">
        <v>1</v>
      </c>
      <c r="O124" s="5"/>
      <c r="P124" s="5">
        <v>0</v>
      </c>
      <c r="Q124" s="53">
        <v>1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</v>
      </c>
      <c r="Y124" s="5">
        <v>0</v>
      </c>
      <c r="Z124" s="5">
        <v>0</v>
      </c>
      <c r="AA124" s="5">
        <v>1</v>
      </c>
      <c r="AB124" s="5">
        <v>0</v>
      </c>
      <c r="AC124" s="5">
        <v>0</v>
      </c>
      <c r="AD124" s="56">
        <v>0</v>
      </c>
      <c r="AE124" s="53">
        <v>122</v>
      </c>
      <c r="AF124" s="142"/>
    </row>
    <row r="125" spans="1:32" ht="15">
      <c r="A125" s="47" t="s">
        <v>313</v>
      </c>
      <c r="B125" s="4" t="s">
        <v>314</v>
      </c>
      <c r="C125" s="41" t="s">
        <v>41</v>
      </c>
      <c r="D125" s="31" t="s">
        <v>168</v>
      </c>
      <c r="E125" s="4" t="s">
        <v>83</v>
      </c>
      <c r="F125" s="4">
        <v>1</v>
      </c>
      <c r="G125" s="4">
        <v>1</v>
      </c>
      <c r="H125" s="4" t="s">
        <v>84</v>
      </c>
      <c r="I125" s="24" t="str">
        <f>A125</f>
        <v>S2.020.241</v>
      </c>
      <c r="J125" s="31"/>
      <c r="K125" s="4"/>
      <c r="L125" s="4"/>
      <c r="M125" s="16">
        <v>1</v>
      </c>
      <c r="N125" s="5">
        <v>1</v>
      </c>
      <c r="O125" s="5"/>
      <c r="P125" s="5">
        <v>0</v>
      </c>
      <c r="Q125" s="53">
        <v>1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1</v>
      </c>
      <c r="Y125" s="5">
        <v>0</v>
      </c>
      <c r="Z125" s="5">
        <v>0</v>
      </c>
      <c r="AA125" s="5">
        <v>1</v>
      </c>
      <c r="AB125" s="5">
        <v>0</v>
      </c>
      <c r="AC125" s="5">
        <v>0</v>
      </c>
      <c r="AD125" s="56">
        <v>0</v>
      </c>
      <c r="AE125" s="53">
        <v>123</v>
      </c>
      <c r="AF125" s="142"/>
    </row>
    <row r="126" spans="1:32" ht="15" customHeight="1">
      <c r="A126" s="47" t="s">
        <v>315</v>
      </c>
      <c r="B126" s="4" t="s">
        <v>316</v>
      </c>
      <c r="C126" s="40" t="s">
        <v>41</v>
      </c>
      <c r="D126" s="35" t="s">
        <v>168</v>
      </c>
      <c r="E126" s="4" t="s">
        <v>83</v>
      </c>
      <c r="F126" s="4">
        <v>4</v>
      </c>
      <c r="G126" s="4">
        <v>1</v>
      </c>
      <c r="H126" s="4" t="s">
        <v>84</v>
      </c>
      <c r="I126" s="24" t="str">
        <f>A126</f>
        <v>S2.030.205</v>
      </c>
      <c r="J126" s="35"/>
      <c r="K126" s="4"/>
      <c r="L126" s="4"/>
      <c r="M126" s="16">
        <v>1</v>
      </c>
      <c r="N126" s="5">
        <v>1</v>
      </c>
      <c r="O126" s="5"/>
      <c r="P126" s="5">
        <v>0</v>
      </c>
      <c r="Q126" s="53">
        <v>1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1</v>
      </c>
      <c r="Y126" s="5">
        <v>0</v>
      </c>
      <c r="Z126" s="5">
        <v>0</v>
      </c>
      <c r="AA126" s="5">
        <v>3</v>
      </c>
      <c r="AB126" s="5">
        <v>0</v>
      </c>
      <c r="AC126" s="5">
        <v>0</v>
      </c>
      <c r="AD126" s="56">
        <v>0</v>
      </c>
      <c r="AE126" s="53">
        <v>124</v>
      </c>
      <c r="AF126" s="142"/>
    </row>
    <row r="127" spans="1:32" ht="15" customHeight="1">
      <c r="A127" s="47" t="s">
        <v>317</v>
      </c>
      <c r="B127" s="4" t="s">
        <v>318</v>
      </c>
      <c r="C127" s="40" t="s">
        <v>41</v>
      </c>
      <c r="D127" s="31" t="s">
        <v>168</v>
      </c>
      <c r="E127" s="4" t="s">
        <v>83</v>
      </c>
      <c r="F127" s="4">
        <v>4</v>
      </c>
      <c r="G127" s="10">
        <v>1</v>
      </c>
      <c r="H127" s="4" t="s">
        <v>84</v>
      </c>
      <c r="I127" s="24" t="str">
        <f>A127</f>
        <v>S2.030.210</v>
      </c>
      <c r="J127" s="31"/>
      <c r="K127" s="4"/>
      <c r="L127" s="4"/>
      <c r="M127" s="16">
        <v>1</v>
      </c>
      <c r="N127" s="5">
        <v>1</v>
      </c>
      <c r="O127" s="5"/>
      <c r="P127" s="5">
        <v>0</v>
      </c>
      <c r="Q127" s="53">
        <v>1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1</v>
      </c>
      <c r="Y127" s="5">
        <v>0</v>
      </c>
      <c r="Z127" s="5">
        <v>0</v>
      </c>
      <c r="AA127" s="5">
        <v>1</v>
      </c>
      <c r="AB127" s="5">
        <v>0</v>
      </c>
      <c r="AC127" s="5">
        <v>0</v>
      </c>
      <c r="AD127" s="56">
        <v>0</v>
      </c>
      <c r="AE127" s="20">
        <v>125</v>
      </c>
      <c r="AF127" s="142"/>
    </row>
    <row r="128" spans="1:32" ht="15" customHeight="1">
      <c r="A128" s="47" t="s">
        <v>319</v>
      </c>
      <c r="B128" s="90" t="s">
        <v>320</v>
      </c>
      <c r="C128" s="41" t="s">
        <v>41</v>
      </c>
      <c r="D128" s="35" t="s">
        <v>168</v>
      </c>
      <c r="E128" s="4" t="s">
        <v>95</v>
      </c>
      <c r="F128" s="4">
        <v>2</v>
      </c>
      <c r="G128" s="110">
        <v>1</v>
      </c>
      <c r="H128" s="4" t="s">
        <v>96</v>
      </c>
      <c r="I128" s="29" t="s">
        <v>321</v>
      </c>
      <c r="J128" s="35"/>
      <c r="K128" s="4"/>
      <c r="L128" s="4"/>
      <c r="M128" s="16">
        <v>1</v>
      </c>
      <c r="N128" s="5">
        <v>1</v>
      </c>
      <c r="O128" s="5"/>
      <c r="P128" s="5">
        <v>0</v>
      </c>
      <c r="Q128" s="53">
        <v>1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1</v>
      </c>
      <c r="Y128" s="5">
        <v>0</v>
      </c>
      <c r="Z128" s="5">
        <v>0</v>
      </c>
      <c r="AA128" s="5">
        <v>1</v>
      </c>
      <c r="AB128" s="5">
        <v>0</v>
      </c>
      <c r="AC128" s="5">
        <v>0</v>
      </c>
      <c r="AD128" s="56">
        <v>0</v>
      </c>
      <c r="AE128" s="20">
        <v>126</v>
      </c>
      <c r="AF128" s="142"/>
    </row>
    <row r="129" spans="1:32" ht="15" customHeight="1">
      <c r="A129" s="47" t="s">
        <v>322</v>
      </c>
      <c r="B129" s="90" t="s">
        <v>323</v>
      </c>
      <c r="C129" s="41" t="s">
        <v>41</v>
      </c>
      <c r="D129" s="31" t="s">
        <v>168</v>
      </c>
      <c r="E129" s="4" t="s">
        <v>95</v>
      </c>
      <c r="F129" s="4">
        <v>3</v>
      </c>
      <c r="G129" s="4">
        <v>1</v>
      </c>
      <c r="H129" s="4" t="s">
        <v>96</v>
      </c>
      <c r="I129" s="24" t="str">
        <f t="shared" ref="I129:I136" si="8">A129</f>
        <v>S3.020.304</v>
      </c>
      <c r="J129" s="31"/>
      <c r="K129" s="4"/>
      <c r="L129" s="4"/>
      <c r="M129" s="16">
        <v>1</v>
      </c>
      <c r="N129" s="5">
        <v>3</v>
      </c>
      <c r="O129" s="5"/>
      <c r="P129" s="5">
        <v>0</v>
      </c>
      <c r="Q129" s="5">
        <v>3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2</v>
      </c>
      <c r="Y129" s="5">
        <v>0</v>
      </c>
      <c r="Z129" s="5">
        <v>0</v>
      </c>
      <c r="AA129" s="5">
        <v>2</v>
      </c>
      <c r="AB129" s="5">
        <v>0</v>
      </c>
      <c r="AC129" s="5">
        <v>0</v>
      </c>
      <c r="AD129" s="56">
        <v>0</v>
      </c>
      <c r="AE129" s="53">
        <v>127</v>
      </c>
      <c r="AF129" s="142"/>
    </row>
    <row r="130" spans="1:32" ht="15" customHeight="1">
      <c r="A130" s="47" t="s">
        <v>324</v>
      </c>
      <c r="B130" s="90" t="s">
        <v>325</v>
      </c>
      <c r="C130" s="41" t="s">
        <v>41</v>
      </c>
      <c r="D130" s="35" t="s">
        <v>168</v>
      </c>
      <c r="E130" s="4" t="s">
        <v>95</v>
      </c>
      <c r="F130" s="4">
        <v>3</v>
      </c>
      <c r="G130" s="4">
        <v>1</v>
      </c>
      <c r="H130" s="4" t="s">
        <v>96</v>
      </c>
      <c r="I130" s="24" t="str">
        <f t="shared" si="8"/>
        <v>S3.020.305</v>
      </c>
      <c r="J130" s="35"/>
      <c r="K130" s="4"/>
      <c r="L130" s="4"/>
      <c r="M130" s="16">
        <v>1</v>
      </c>
      <c r="N130" s="5">
        <v>1</v>
      </c>
      <c r="O130" s="5"/>
      <c r="P130" s="5">
        <v>0</v>
      </c>
      <c r="Q130" s="53">
        <v>1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1</v>
      </c>
      <c r="Y130" s="5">
        <v>0</v>
      </c>
      <c r="Z130" s="5">
        <v>0</v>
      </c>
      <c r="AA130" s="5">
        <v>1</v>
      </c>
      <c r="AB130" s="5">
        <v>0</v>
      </c>
      <c r="AC130" s="5">
        <v>0</v>
      </c>
      <c r="AD130" s="56">
        <v>0</v>
      </c>
      <c r="AE130" s="53">
        <v>128</v>
      </c>
      <c r="AF130" s="142"/>
    </row>
    <row r="131" spans="1:32" ht="15" customHeight="1">
      <c r="A131" s="47" t="s">
        <v>326</v>
      </c>
      <c r="B131" s="90" t="s">
        <v>327</v>
      </c>
      <c r="C131" s="40" t="s">
        <v>41</v>
      </c>
      <c r="D131" s="31" t="s">
        <v>168</v>
      </c>
      <c r="E131" s="4" t="s">
        <v>95</v>
      </c>
      <c r="F131" s="4">
        <v>3</v>
      </c>
      <c r="G131" s="4">
        <v>1</v>
      </c>
      <c r="H131" s="4" t="s">
        <v>96</v>
      </c>
      <c r="I131" s="24" t="str">
        <f t="shared" si="8"/>
        <v>S3.020.306</v>
      </c>
      <c r="J131" s="31"/>
      <c r="K131" s="4"/>
      <c r="L131" s="4"/>
      <c r="M131" s="16">
        <v>1</v>
      </c>
      <c r="N131" s="5">
        <v>1</v>
      </c>
      <c r="O131" s="5"/>
      <c r="P131" s="5">
        <v>0</v>
      </c>
      <c r="Q131" s="53">
        <v>1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1</v>
      </c>
      <c r="Y131" s="5">
        <v>0</v>
      </c>
      <c r="Z131" s="5">
        <v>0</v>
      </c>
      <c r="AA131" s="5">
        <v>1</v>
      </c>
      <c r="AB131" s="5">
        <v>0</v>
      </c>
      <c r="AC131" s="5">
        <v>0</v>
      </c>
      <c r="AD131" s="56">
        <v>0</v>
      </c>
      <c r="AE131" s="53">
        <v>129</v>
      </c>
      <c r="AF131" s="142"/>
    </row>
    <row r="132" spans="1:32" ht="15" customHeight="1">
      <c r="A132" s="47" t="s">
        <v>328</v>
      </c>
      <c r="B132" s="90" t="s">
        <v>329</v>
      </c>
      <c r="C132" s="40" t="s">
        <v>41</v>
      </c>
      <c r="D132" s="35" t="s">
        <v>168</v>
      </c>
      <c r="E132" s="4" t="s">
        <v>95</v>
      </c>
      <c r="F132" s="4">
        <v>3</v>
      </c>
      <c r="G132" s="4">
        <v>1</v>
      </c>
      <c r="H132" s="4" t="s">
        <v>96</v>
      </c>
      <c r="I132" s="24" t="str">
        <f t="shared" si="8"/>
        <v>S3.020.310</v>
      </c>
      <c r="J132" s="35"/>
      <c r="K132" s="4"/>
      <c r="L132" s="4"/>
      <c r="M132" s="16">
        <v>1</v>
      </c>
      <c r="N132" s="5">
        <v>1</v>
      </c>
      <c r="O132" s="5"/>
      <c r="P132" s="5">
        <v>0</v>
      </c>
      <c r="Q132" s="53">
        <v>1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1</v>
      </c>
      <c r="Y132" s="5">
        <v>0</v>
      </c>
      <c r="Z132" s="5">
        <v>0</v>
      </c>
      <c r="AA132" s="5">
        <v>1</v>
      </c>
      <c r="AB132" s="5">
        <v>0</v>
      </c>
      <c r="AC132" s="5">
        <v>0</v>
      </c>
      <c r="AD132" s="56">
        <v>0</v>
      </c>
      <c r="AE132" s="20">
        <v>130</v>
      </c>
      <c r="AF132" s="142"/>
    </row>
    <row r="133" spans="1:32" ht="15" customHeight="1">
      <c r="A133" s="47" t="s">
        <v>330</v>
      </c>
      <c r="B133" s="90" t="s">
        <v>331</v>
      </c>
      <c r="C133" s="41" t="s">
        <v>41</v>
      </c>
      <c r="D133" s="31" t="s">
        <v>168</v>
      </c>
      <c r="E133" s="4" t="s">
        <v>95</v>
      </c>
      <c r="F133" s="4">
        <v>3</v>
      </c>
      <c r="G133" s="4">
        <v>1</v>
      </c>
      <c r="H133" s="4" t="s">
        <v>96</v>
      </c>
      <c r="I133" s="24" t="str">
        <f t="shared" si="8"/>
        <v>S3.020.311</v>
      </c>
      <c r="J133" s="31"/>
      <c r="K133" s="4"/>
      <c r="L133" s="4"/>
      <c r="M133" s="16">
        <v>1</v>
      </c>
      <c r="N133" s="5">
        <v>2</v>
      </c>
      <c r="O133" s="5"/>
      <c r="P133" s="5">
        <v>0</v>
      </c>
      <c r="Q133" s="5">
        <v>2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1</v>
      </c>
      <c r="Y133" s="5">
        <v>0</v>
      </c>
      <c r="Z133" s="5">
        <v>0</v>
      </c>
      <c r="AA133" s="5">
        <v>1</v>
      </c>
      <c r="AB133" s="5">
        <v>0</v>
      </c>
      <c r="AC133" s="5">
        <v>0</v>
      </c>
      <c r="AD133" s="56">
        <v>0</v>
      </c>
      <c r="AE133" s="20">
        <v>131</v>
      </c>
      <c r="AF133" s="142"/>
    </row>
    <row r="134" spans="1:32" ht="15" customHeight="1">
      <c r="A134" s="47" t="s">
        <v>332</v>
      </c>
      <c r="B134" s="90" t="s">
        <v>333</v>
      </c>
      <c r="C134" s="41" t="s">
        <v>41</v>
      </c>
      <c r="D134" s="35" t="s">
        <v>168</v>
      </c>
      <c r="E134" s="4" t="s">
        <v>95</v>
      </c>
      <c r="F134" s="4">
        <v>2</v>
      </c>
      <c r="G134" s="4">
        <v>1</v>
      </c>
      <c r="H134" s="4" t="s">
        <v>96</v>
      </c>
      <c r="I134" s="24" t="str">
        <f t="shared" si="8"/>
        <v>S3.020.315</v>
      </c>
      <c r="J134" s="35"/>
      <c r="K134" s="4"/>
      <c r="L134" s="4"/>
      <c r="M134" s="16">
        <v>1</v>
      </c>
      <c r="N134" s="5">
        <v>1</v>
      </c>
      <c r="O134" s="5"/>
      <c r="P134" s="5">
        <v>0</v>
      </c>
      <c r="Q134" s="53">
        <v>1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1</v>
      </c>
      <c r="Y134" s="5">
        <v>0</v>
      </c>
      <c r="Z134" s="5">
        <v>0</v>
      </c>
      <c r="AA134" s="5">
        <v>1</v>
      </c>
      <c r="AB134" s="5">
        <v>0</v>
      </c>
      <c r="AC134" s="5">
        <v>0</v>
      </c>
      <c r="AD134" s="56">
        <v>0</v>
      </c>
      <c r="AE134" s="53">
        <v>132</v>
      </c>
      <c r="AF134" s="142"/>
    </row>
    <row r="135" spans="1:32" ht="15" customHeight="1">
      <c r="A135" s="47" t="s">
        <v>334</v>
      </c>
      <c r="B135" s="90" t="s">
        <v>335</v>
      </c>
      <c r="C135" s="41" t="s">
        <v>41</v>
      </c>
      <c r="D135" s="31" t="s">
        <v>168</v>
      </c>
      <c r="E135" s="4" t="s">
        <v>95</v>
      </c>
      <c r="F135" s="4">
        <v>2</v>
      </c>
      <c r="G135" s="4">
        <v>1</v>
      </c>
      <c r="H135" s="4" t="s">
        <v>96</v>
      </c>
      <c r="I135" s="24" t="str">
        <f t="shared" si="8"/>
        <v>S3.020.319</v>
      </c>
      <c r="J135" s="31"/>
      <c r="K135" s="4"/>
      <c r="L135" s="4"/>
      <c r="M135" s="16">
        <v>1</v>
      </c>
      <c r="N135" s="5">
        <v>1</v>
      </c>
      <c r="O135" s="5"/>
      <c r="P135" s="5">
        <v>0</v>
      </c>
      <c r="Q135" s="53">
        <v>1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1</v>
      </c>
      <c r="Y135" s="5">
        <v>0</v>
      </c>
      <c r="Z135" s="5">
        <v>0</v>
      </c>
      <c r="AA135" s="5">
        <v>1</v>
      </c>
      <c r="AB135" s="5">
        <v>0</v>
      </c>
      <c r="AC135" s="5">
        <v>0</v>
      </c>
      <c r="AD135" s="56">
        <v>0</v>
      </c>
      <c r="AE135" s="53">
        <v>133</v>
      </c>
      <c r="AF135" s="142"/>
    </row>
    <row r="136" spans="1:32" ht="15" customHeight="1">
      <c r="A136" s="47" t="s">
        <v>336</v>
      </c>
      <c r="B136" s="90" t="s">
        <v>337</v>
      </c>
      <c r="C136" s="40" t="s">
        <v>41</v>
      </c>
      <c r="D136" s="35" t="s">
        <v>168</v>
      </c>
      <c r="E136" s="4" t="s">
        <v>95</v>
      </c>
      <c r="F136" s="4">
        <v>1</v>
      </c>
      <c r="G136" s="4">
        <v>1</v>
      </c>
      <c r="H136" s="4" t="s">
        <v>96</v>
      </c>
      <c r="I136" s="24" t="str">
        <f t="shared" si="8"/>
        <v>S3.020.334</v>
      </c>
      <c r="J136" s="35"/>
      <c r="K136" s="4"/>
      <c r="L136" s="4"/>
      <c r="M136" s="16">
        <v>1</v>
      </c>
      <c r="N136" s="5">
        <v>1</v>
      </c>
      <c r="O136" s="5"/>
      <c r="P136" s="5">
        <v>0</v>
      </c>
      <c r="Q136" s="53">
        <v>1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</v>
      </c>
      <c r="Y136" s="5">
        <v>0</v>
      </c>
      <c r="Z136" s="5">
        <v>0</v>
      </c>
      <c r="AA136" s="5">
        <v>1</v>
      </c>
      <c r="AB136" s="5">
        <v>0</v>
      </c>
      <c r="AC136" s="5">
        <v>0</v>
      </c>
      <c r="AD136" s="56">
        <v>0</v>
      </c>
      <c r="AE136" s="53">
        <v>134</v>
      </c>
      <c r="AF136" s="142"/>
    </row>
    <row r="137" spans="1:32" ht="15" customHeight="1">
      <c r="A137" s="47" t="s">
        <v>338</v>
      </c>
      <c r="B137" s="90" t="s">
        <v>339</v>
      </c>
      <c r="C137" s="40" t="s">
        <v>41</v>
      </c>
      <c r="D137" s="31" t="s">
        <v>168</v>
      </c>
      <c r="E137" s="4" t="s">
        <v>95</v>
      </c>
      <c r="F137" s="4">
        <v>1</v>
      </c>
      <c r="G137" s="4">
        <v>1</v>
      </c>
      <c r="H137" s="4"/>
      <c r="I137" s="29" t="s">
        <v>340</v>
      </c>
      <c r="J137" s="31"/>
      <c r="K137" s="4"/>
      <c r="L137" s="4"/>
      <c r="M137" s="16">
        <v>1</v>
      </c>
      <c r="N137" s="5">
        <v>1</v>
      </c>
      <c r="O137" s="5"/>
      <c r="P137" s="5">
        <v>0</v>
      </c>
      <c r="Q137" s="53">
        <v>1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1</v>
      </c>
      <c r="Y137" s="5">
        <v>0</v>
      </c>
      <c r="Z137" s="5">
        <v>0</v>
      </c>
      <c r="AA137" s="5">
        <v>1</v>
      </c>
      <c r="AB137" s="5">
        <v>0</v>
      </c>
      <c r="AC137" s="5">
        <v>0</v>
      </c>
      <c r="AD137" s="56">
        <v>0</v>
      </c>
      <c r="AE137" s="20">
        <v>135</v>
      </c>
      <c r="AF137" s="142"/>
    </row>
    <row r="138" spans="1:32" ht="15" customHeight="1">
      <c r="A138" s="47" t="s">
        <v>341</v>
      </c>
      <c r="B138" s="90" t="s">
        <v>342</v>
      </c>
      <c r="C138" s="41" t="s">
        <v>41</v>
      </c>
      <c r="D138" s="35" t="s">
        <v>168</v>
      </c>
      <c r="E138" s="4" t="s">
        <v>95</v>
      </c>
      <c r="F138" s="4">
        <v>1</v>
      </c>
      <c r="G138" s="4">
        <v>1</v>
      </c>
      <c r="H138" s="4" t="s">
        <v>96</v>
      </c>
      <c r="I138" s="24" t="str">
        <f>A138</f>
        <v>S3.020.337</v>
      </c>
      <c r="J138" s="35"/>
      <c r="K138" s="4"/>
      <c r="L138" s="4"/>
      <c r="M138" s="16">
        <v>1</v>
      </c>
      <c r="N138" s="5">
        <v>3</v>
      </c>
      <c r="O138" s="5"/>
      <c r="P138" s="5">
        <v>0</v>
      </c>
      <c r="Q138" s="5">
        <v>3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3</v>
      </c>
      <c r="Y138" s="5">
        <v>0</v>
      </c>
      <c r="Z138" s="5">
        <v>0</v>
      </c>
      <c r="AA138" s="5">
        <v>3</v>
      </c>
      <c r="AB138" s="5">
        <v>0</v>
      </c>
      <c r="AC138" s="5">
        <v>0</v>
      </c>
      <c r="AD138" s="56">
        <v>0</v>
      </c>
      <c r="AE138" s="20">
        <v>136</v>
      </c>
      <c r="AF138" s="142"/>
    </row>
    <row r="139" spans="1:32" ht="15" customHeight="1">
      <c r="A139" s="47" t="s">
        <v>343</v>
      </c>
      <c r="B139" s="90" t="s">
        <v>344</v>
      </c>
      <c r="C139" s="41" t="s">
        <v>41</v>
      </c>
      <c r="D139" s="31" t="s">
        <v>168</v>
      </c>
      <c r="E139" s="4" t="s">
        <v>95</v>
      </c>
      <c r="F139" s="4">
        <v>1</v>
      </c>
      <c r="G139" s="4">
        <v>1</v>
      </c>
      <c r="H139" s="4"/>
      <c r="I139" s="29" t="s">
        <v>340</v>
      </c>
      <c r="J139" s="31"/>
      <c r="K139" s="4"/>
      <c r="L139" s="4"/>
      <c r="M139" s="16">
        <v>1</v>
      </c>
      <c r="N139" s="5">
        <v>1</v>
      </c>
      <c r="O139" s="5"/>
      <c r="P139" s="5">
        <v>0</v>
      </c>
      <c r="Q139" s="53">
        <v>1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1</v>
      </c>
      <c r="Y139" s="5">
        <v>0</v>
      </c>
      <c r="Z139" s="5">
        <v>0</v>
      </c>
      <c r="AA139" s="5">
        <v>1</v>
      </c>
      <c r="AB139" s="5">
        <v>0</v>
      </c>
      <c r="AC139" s="5">
        <v>0</v>
      </c>
      <c r="AD139" s="56">
        <v>0</v>
      </c>
      <c r="AE139" s="53">
        <v>137</v>
      </c>
      <c r="AF139" s="142"/>
    </row>
    <row r="140" spans="1:32" ht="15" customHeight="1">
      <c r="A140" s="47" t="s">
        <v>345</v>
      </c>
      <c r="B140" s="90" t="s">
        <v>346</v>
      </c>
      <c r="C140" s="41" t="s">
        <v>41</v>
      </c>
      <c r="D140" s="35" t="s">
        <v>168</v>
      </c>
      <c r="E140" s="4" t="s">
        <v>95</v>
      </c>
      <c r="F140" s="4">
        <v>1</v>
      </c>
      <c r="G140" s="4">
        <v>1</v>
      </c>
      <c r="H140" s="4"/>
      <c r="I140" s="29" t="s">
        <v>340</v>
      </c>
      <c r="J140" s="35"/>
      <c r="K140" s="4"/>
      <c r="L140" s="4"/>
      <c r="M140" s="16">
        <v>1</v>
      </c>
      <c r="N140" s="5">
        <v>1</v>
      </c>
      <c r="O140" s="5"/>
      <c r="P140" s="5">
        <v>0</v>
      </c>
      <c r="Q140" s="53">
        <v>1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1</v>
      </c>
      <c r="Y140" s="5">
        <v>0</v>
      </c>
      <c r="Z140" s="5">
        <v>0</v>
      </c>
      <c r="AA140" s="5">
        <v>1</v>
      </c>
      <c r="AB140" s="5">
        <v>0</v>
      </c>
      <c r="AC140" s="5">
        <v>0</v>
      </c>
      <c r="AD140" s="56">
        <v>0</v>
      </c>
      <c r="AE140" s="53">
        <v>138</v>
      </c>
      <c r="AF140" s="142"/>
    </row>
    <row r="141" spans="1:32" ht="15" customHeight="1">
      <c r="A141" s="47" t="s">
        <v>347</v>
      </c>
      <c r="B141" s="90" t="s">
        <v>348</v>
      </c>
      <c r="C141" s="40" t="s">
        <v>41</v>
      </c>
      <c r="D141" s="31" t="s">
        <v>168</v>
      </c>
      <c r="E141" s="4" t="s">
        <v>95</v>
      </c>
      <c r="F141" s="4">
        <v>1</v>
      </c>
      <c r="G141" s="10">
        <v>1</v>
      </c>
      <c r="H141" s="4" t="s">
        <v>96</v>
      </c>
      <c r="I141" s="24" t="str">
        <f>A141</f>
        <v>S3.020.341</v>
      </c>
      <c r="J141" s="31"/>
      <c r="K141" s="4"/>
      <c r="L141" s="4"/>
      <c r="M141" s="16">
        <v>1</v>
      </c>
      <c r="N141" s="5">
        <v>1</v>
      </c>
      <c r="O141" s="5"/>
      <c r="P141" s="5">
        <v>0</v>
      </c>
      <c r="Q141" s="53">
        <v>1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1</v>
      </c>
      <c r="Y141" s="5">
        <v>0</v>
      </c>
      <c r="Z141" s="5">
        <v>0</v>
      </c>
      <c r="AA141" s="5">
        <v>1</v>
      </c>
      <c r="AB141" s="5">
        <v>0</v>
      </c>
      <c r="AC141" s="5">
        <v>0</v>
      </c>
      <c r="AD141" s="56">
        <v>0</v>
      </c>
      <c r="AE141" s="53">
        <v>139</v>
      </c>
      <c r="AF141" s="142"/>
    </row>
    <row r="142" spans="1:32" ht="15" customHeight="1">
      <c r="A142" s="47" t="s">
        <v>349</v>
      </c>
      <c r="B142" s="90" t="s">
        <v>350</v>
      </c>
      <c r="C142" s="40" t="s">
        <v>41</v>
      </c>
      <c r="D142" s="35" t="s">
        <v>168</v>
      </c>
      <c r="E142" s="4" t="s">
        <v>95</v>
      </c>
      <c r="F142" s="4">
        <v>4</v>
      </c>
      <c r="G142" s="110">
        <v>1</v>
      </c>
      <c r="H142" s="4" t="s">
        <v>96</v>
      </c>
      <c r="I142" s="24" t="str">
        <f>A142</f>
        <v>S3.030.305</v>
      </c>
      <c r="J142" s="35"/>
      <c r="K142" s="4"/>
      <c r="L142" s="4"/>
      <c r="M142" s="16">
        <v>1</v>
      </c>
      <c r="N142" s="5">
        <v>1</v>
      </c>
      <c r="O142" s="5"/>
      <c r="P142" s="5">
        <v>0</v>
      </c>
      <c r="Q142" s="53">
        <v>1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1</v>
      </c>
      <c r="Y142" s="5">
        <v>0</v>
      </c>
      <c r="Z142" s="5">
        <v>0</v>
      </c>
      <c r="AA142" s="5">
        <v>3</v>
      </c>
      <c r="AB142" s="5">
        <v>0</v>
      </c>
      <c r="AC142" s="5">
        <v>0</v>
      </c>
      <c r="AD142" s="56">
        <v>0</v>
      </c>
      <c r="AE142" s="20">
        <v>140</v>
      </c>
      <c r="AF142" s="142"/>
    </row>
    <row r="143" spans="1:32" ht="15" customHeight="1">
      <c r="A143" s="47" t="s">
        <v>351</v>
      </c>
      <c r="B143" s="90" t="s">
        <v>352</v>
      </c>
      <c r="C143" s="41" t="s">
        <v>41</v>
      </c>
      <c r="D143" s="31" t="s">
        <v>168</v>
      </c>
      <c r="E143" s="4" t="s">
        <v>95</v>
      </c>
      <c r="F143" s="4">
        <v>4</v>
      </c>
      <c r="G143" s="4">
        <v>1</v>
      </c>
      <c r="H143" s="4" t="s">
        <v>96</v>
      </c>
      <c r="I143" s="24" t="str">
        <f>A143</f>
        <v>S3.030.310</v>
      </c>
      <c r="J143" s="31"/>
      <c r="K143" s="4"/>
      <c r="L143" s="4"/>
      <c r="M143" s="16">
        <v>1</v>
      </c>
      <c r="N143" s="5">
        <v>1</v>
      </c>
      <c r="O143" s="5"/>
      <c r="P143" s="5">
        <v>0</v>
      </c>
      <c r="Q143" s="53">
        <v>1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1</v>
      </c>
      <c r="Y143" s="5">
        <v>0</v>
      </c>
      <c r="Z143" s="5">
        <v>0</v>
      </c>
      <c r="AA143" s="5">
        <v>1</v>
      </c>
      <c r="AB143" s="5">
        <v>0</v>
      </c>
      <c r="AC143" s="5">
        <v>0</v>
      </c>
      <c r="AD143" s="56">
        <v>0</v>
      </c>
      <c r="AE143" s="20">
        <v>141</v>
      </c>
      <c r="AF143" s="142"/>
    </row>
    <row r="144" spans="1:32" ht="15">
      <c r="A144" s="47" t="s">
        <v>353</v>
      </c>
      <c r="B144" s="4" t="s">
        <v>354</v>
      </c>
      <c r="C144" s="41" t="s">
        <v>41</v>
      </c>
      <c r="D144" s="35" t="s">
        <v>168</v>
      </c>
      <c r="E144" s="4" t="s">
        <v>107</v>
      </c>
      <c r="F144" s="4">
        <v>2</v>
      </c>
      <c r="G144" s="4">
        <v>1</v>
      </c>
      <c r="H144" s="4" t="s">
        <v>108</v>
      </c>
      <c r="I144" s="29" t="s">
        <v>355</v>
      </c>
      <c r="J144" s="35"/>
      <c r="K144" s="4"/>
      <c r="L144" s="4"/>
      <c r="M144" s="16">
        <v>1</v>
      </c>
      <c r="N144" s="5">
        <v>1</v>
      </c>
      <c r="O144" s="5"/>
      <c r="P144" s="5">
        <v>0</v>
      </c>
      <c r="Q144" s="53">
        <v>1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1</v>
      </c>
      <c r="Y144" s="5">
        <v>0</v>
      </c>
      <c r="Z144" s="5">
        <v>0</v>
      </c>
      <c r="AA144" s="5">
        <v>1</v>
      </c>
      <c r="AB144" s="5">
        <v>0</v>
      </c>
      <c r="AC144" s="5">
        <v>0</v>
      </c>
      <c r="AD144" s="56">
        <v>0</v>
      </c>
      <c r="AE144" s="53">
        <v>142</v>
      </c>
      <c r="AF144" s="142"/>
    </row>
    <row r="145" spans="1:32" ht="15">
      <c r="A145" s="47" t="s">
        <v>356</v>
      </c>
      <c r="B145" s="4" t="s">
        <v>357</v>
      </c>
      <c r="C145" s="41" t="s">
        <v>41</v>
      </c>
      <c r="D145" s="31" t="s">
        <v>168</v>
      </c>
      <c r="E145" s="4" t="s">
        <v>107</v>
      </c>
      <c r="F145" s="4">
        <v>3</v>
      </c>
      <c r="G145" s="4">
        <v>1</v>
      </c>
      <c r="H145" s="4" t="s">
        <v>108</v>
      </c>
      <c r="I145" s="24" t="str">
        <f t="shared" ref="I145:I152" si="9">A145</f>
        <v>S4.020.404</v>
      </c>
      <c r="J145" s="31"/>
      <c r="K145" s="4"/>
      <c r="L145" s="4"/>
      <c r="M145" s="16">
        <v>1</v>
      </c>
      <c r="N145" s="5">
        <v>3</v>
      </c>
      <c r="O145" s="5"/>
      <c r="P145" s="5">
        <v>0</v>
      </c>
      <c r="Q145" s="5">
        <v>3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1</v>
      </c>
      <c r="Y145" s="5">
        <v>0</v>
      </c>
      <c r="Z145" s="5">
        <v>0</v>
      </c>
      <c r="AA145" s="5">
        <v>2</v>
      </c>
      <c r="AB145" s="5">
        <v>0</v>
      </c>
      <c r="AC145" s="5">
        <v>0</v>
      </c>
      <c r="AD145" s="56">
        <v>0</v>
      </c>
      <c r="AE145" s="53">
        <v>143</v>
      </c>
      <c r="AF145" s="142"/>
    </row>
    <row r="146" spans="1:32" ht="15">
      <c r="A146" s="47" t="s">
        <v>358</v>
      </c>
      <c r="B146" s="4" t="s">
        <v>359</v>
      </c>
      <c r="C146" s="40" t="s">
        <v>41</v>
      </c>
      <c r="D146" s="35" t="s">
        <v>168</v>
      </c>
      <c r="E146" s="4" t="s">
        <v>107</v>
      </c>
      <c r="F146" s="4">
        <v>3</v>
      </c>
      <c r="G146" s="4">
        <v>1</v>
      </c>
      <c r="H146" s="4" t="s">
        <v>108</v>
      </c>
      <c r="I146" s="24" t="str">
        <f t="shared" si="9"/>
        <v>S4.020.405</v>
      </c>
      <c r="J146" s="35"/>
      <c r="K146" s="4"/>
      <c r="L146" s="4"/>
      <c r="M146" s="16">
        <v>1</v>
      </c>
      <c r="N146" s="5">
        <v>1</v>
      </c>
      <c r="O146" s="5"/>
      <c r="P146" s="5">
        <v>0</v>
      </c>
      <c r="Q146" s="53">
        <v>1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1</v>
      </c>
      <c r="Y146" s="5">
        <v>0</v>
      </c>
      <c r="Z146" s="5">
        <v>0</v>
      </c>
      <c r="AA146" s="5">
        <v>1</v>
      </c>
      <c r="AB146" s="5">
        <v>0</v>
      </c>
      <c r="AC146" s="5">
        <v>0</v>
      </c>
      <c r="AD146" s="56">
        <v>0</v>
      </c>
      <c r="AE146" s="53">
        <v>144</v>
      </c>
      <c r="AF146" s="142"/>
    </row>
    <row r="147" spans="1:32" ht="15">
      <c r="A147" s="47" t="s">
        <v>360</v>
      </c>
      <c r="B147" s="4" t="s">
        <v>361</v>
      </c>
      <c r="C147" s="40" t="s">
        <v>41</v>
      </c>
      <c r="D147" s="31" t="s">
        <v>168</v>
      </c>
      <c r="E147" s="4" t="s">
        <v>107</v>
      </c>
      <c r="F147" s="4">
        <v>3</v>
      </c>
      <c r="G147" s="4">
        <v>1</v>
      </c>
      <c r="H147" s="4" t="s">
        <v>108</v>
      </c>
      <c r="I147" s="24" t="str">
        <f t="shared" si="9"/>
        <v>S4.020.406</v>
      </c>
      <c r="J147" s="31"/>
      <c r="K147" s="4"/>
      <c r="L147" s="4"/>
      <c r="M147" s="16">
        <v>1</v>
      </c>
      <c r="N147" s="5">
        <v>1</v>
      </c>
      <c r="O147" s="5"/>
      <c r="P147" s="5">
        <v>0</v>
      </c>
      <c r="Q147" s="53">
        <v>1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2</v>
      </c>
      <c r="Y147" s="5">
        <v>0</v>
      </c>
      <c r="Z147" s="5">
        <v>0</v>
      </c>
      <c r="AA147" s="5">
        <v>1</v>
      </c>
      <c r="AB147" s="5">
        <v>0</v>
      </c>
      <c r="AC147" s="5">
        <v>0</v>
      </c>
      <c r="AD147" s="56">
        <v>0</v>
      </c>
      <c r="AE147" s="20">
        <v>145</v>
      </c>
      <c r="AF147" s="142"/>
    </row>
    <row r="148" spans="1:32" ht="15">
      <c r="A148" s="47" t="s">
        <v>362</v>
      </c>
      <c r="B148" s="4" t="s">
        <v>363</v>
      </c>
      <c r="C148" s="41" t="s">
        <v>41</v>
      </c>
      <c r="D148" s="35" t="s">
        <v>168</v>
      </c>
      <c r="E148" s="4" t="s">
        <v>107</v>
      </c>
      <c r="F148" s="4">
        <v>3</v>
      </c>
      <c r="G148" s="4">
        <v>1</v>
      </c>
      <c r="H148" s="4" t="s">
        <v>108</v>
      </c>
      <c r="I148" s="24" t="str">
        <f t="shared" si="9"/>
        <v>S4.020.410</v>
      </c>
      <c r="J148" s="35"/>
      <c r="K148" s="4"/>
      <c r="L148" s="4"/>
      <c r="M148" s="16">
        <v>1</v>
      </c>
      <c r="N148" s="5">
        <v>1</v>
      </c>
      <c r="O148" s="5"/>
      <c r="P148" s="5">
        <v>0</v>
      </c>
      <c r="Q148" s="53">
        <v>1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1</v>
      </c>
      <c r="Y148" s="5">
        <v>0</v>
      </c>
      <c r="Z148" s="5">
        <v>0</v>
      </c>
      <c r="AA148" s="5">
        <v>1</v>
      </c>
      <c r="AB148" s="5">
        <v>0</v>
      </c>
      <c r="AC148" s="5">
        <v>0</v>
      </c>
      <c r="AD148" s="56">
        <v>0</v>
      </c>
      <c r="AE148" s="20">
        <v>146</v>
      </c>
      <c r="AF148" s="142"/>
    </row>
    <row r="149" spans="1:32" ht="15">
      <c r="A149" s="47" t="s">
        <v>364</v>
      </c>
      <c r="B149" s="4" t="s">
        <v>365</v>
      </c>
      <c r="C149" s="41" t="s">
        <v>41</v>
      </c>
      <c r="D149" s="31" t="s">
        <v>168</v>
      </c>
      <c r="E149" s="4" t="s">
        <v>107</v>
      </c>
      <c r="F149" s="4">
        <v>3</v>
      </c>
      <c r="G149" s="4">
        <v>1</v>
      </c>
      <c r="H149" s="4" t="s">
        <v>108</v>
      </c>
      <c r="I149" s="24" t="str">
        <f t="shared" si="9"/>
        <v>S4.020.411</v>
      </c>
      <c r="J149" s="31"/>
      <c r="K149" s="4"/>
      <c r="L149" s="4"/>
      <c r="M149" s="16">
        <v>1</v>
      </c>
      <c r="N149" s="5">
        <v>2</v>
      </c>
      <c r="O149" s="5"/>
      <c r="P149" s="5">
        <v>0</v>
      </c>
      <c r="Q149" s="5">
        <v>2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1</v>
      </c>
      <c r="Y149" s="5">
        <v>0</v>
      </c>
      <c r="Z149" s="5">
        <v>0</v>
      </c>
      <c r="AA149" s="5">
        <v>1</v>
      </c>
      <c r="AB149" s="5">
        <v>0</v>
      </c>
      <c r="AC149" s="5">
        <v>0</v>
      </c>
      <c r="AD149" s="56">
        <v>0</v>
      </c>
      <c r="AE149" s="53">
        <v>147</v>
      </c>
      <c r="AF149" s="142"/>
    </row>
    <row r="150" spans="1:32" ht="15">
      <c r="A150" s="47" t="s">
        <v>366</v>
      </c>
      <c r="B150" s="4" t="s">
        <v>367</v>
      </c>
      <c r="C150" s="41" t="s">
        <v>41</v>
      </c>
      <c r="D150" s="35" t="s">
        <v>168</v>
      </c>
      <c r="E150" s="4" t="s">
        <v>107</v>
      </c>
      <c r="F150" s="4">
        <v>2</v>
      </c>
      <c r="G150" s="4">
        <v>1</v>
      </c>
      <c r="H150" s="4" t="s">
        <v>108</v>
      </c>
      <c r="I150" s="24" t="str">
        <f t="shared" si="9"/>
        <v>S4.020.415</v>
      </c>
      <c r="J150" s="35"/>
      <c r="K150" s="4"/>
      <c r="L150" s="4"/>
      <c r="M150" s="16">
        <v>1</v>
      </c>
      <c r="N150" s="5">
        <v>1</v>
      </c>
      <c r="O150" s="5"/>
      <c r="P150" s="5">
        <v>0</v>
      </c>
      <c r="Q150" s="53">
        <v>1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1</v>
      </c>
      <c r="Y150" s="5">
        <v>0</v>
      </c>
      <c r="Z150" s="5">
        <v>0</v>
      </c>
      <c r="AA150" s="5">
        <v>1</v>
      </c>
      <c r="AB150" s="5">
        <v>0</v>
      </c>
      <c r="AC150" s="5">
        <v>0</v>
      </c>
      <c r="AD150" s="56">
        <v>0</v>
      </c>
      <c r="AE150" s="53">
        <v>148</v>
      </c>
      <c r="AF150" s="142"/>
    </row>
    <row r="151" spans="1:32" ht="15">
      <c r="A151" s="47" t="s">
        <v>368</v>
      </c>
      <c r="B151" s="4" t="s">
        <v>369</v>
      </c>
      <c r="C151" s="40" t="s">
        <v>41</v>
      </c>
      <c r="D151" s="31" t="s">
        <v>168</v>
      </c>
      <c r="E151" s="4" t="s">
        <v>107</v>
      </c>
      <c r="F151" s="4">
        <v>2</v>
      </c>
      <c r="G151" s="4">
        <v>1</v>
      </c>
      <c r="H151" s="4" t="s">
        <v>108</v>
      </c>
      <c r="I151" s="24" t="str">
        <f t="shared" si="9"/>
        <v>S4.020.419</v>
      </c>
      <c r="J151" s="31"/>
      <c r="K151" s="4"/>
      <c r="L151" s="4"/>
      <c r="M151" s="16">
        <v>1</v>
      </c>
      <c r="N151" s="5">
        <v>1</v>
      </c>
      <c r="O151" s="5"/>
      <c r="P151" s="5">
        <v>0</v>
      </c>
      <c r="Q151" s="53">
        <v>1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1</v>
      </c>
      <c r="Y151" s="5">
        <v>0</v>
      </c>
      <c r="Z151" s="5">
        <v>0</v>
      </c>
      <c r="AA151" s="5">
        <v>1</v>
      </c>
      <c r="AB151" s="5">
        <v>0</v>
      </c>
      <c r="AC151" s="5">
        <v>0</v>
      </c>
      <c r="AD151" s="56">
        <v>0</v>
      </c>
      <c r="AE151" s="53">
        <v>149</v>
      </c>
      <c r="AF151" s="142"/>
    </row>
    <row r="152" spans="1:32" ht="15">
      <c r="A152" s="47" t="s">
        <v>370</v>
      </c>
      <c r="B152" s="4" t="s">
        <v>371</v>
      </c>
      <c r="C152" s="40" t="s">
        <v>41</v>
      </c>
      <c r="D152" s="35" t="s">
        <v>168</v>
      </c>
      <c r="E152" s="4" t="s">
        <v>107</v>
      </c>
      <c r="F152" s="4">
        <v>1</v>
      </c>
      <c r="G152" s="4">
        <v>1</v>
      </c>
      <c r="H152" s="4" t="s">
        <v>108</v>
      </c>
      <c r="I152" s="24" t="str">
        <f t="shared" si="9"/>
        <v>S4.020.434</v>
      </c>
      <c r="J152" s="35"/>
      <c r="K152" s="4"/>
      <c r="L152" s="4"/>
      <c r="M152" s="16">
        <v>1</v>
      </c>
      <c r="N152" s="5">
        <v>1</v>
      </c>
      <c r="O152" s="5"/>
      <c r="P152" s="5">
        <v>0</v>
      </c>
      <c r="Q152" s="53">
        <v>1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1</v>
      </c>
      <c r="Y152" s="5">
        <v>0</v>
      </c>
      <c r="Z152" s="5">
        <v>0</v>
      </c>
      <c r="AA152" s="5">
        <v>1</v>
      </c>
      <c r="AB152" s="5">
        <v>0</v>
      </c>
      <c r="AC152" s="5">
        <v>0</v>
      </c>
      <c r="AD152" s="56">
        <v>0</v>
      </c>
      <c r="AE152" s="20">
        <v>150</v>
      </c>
      <c r="AF152" s="142"/>
    </row>
    <row r="153" spans="1:32" ht="15">
      <c r="A153" s="47" t="s">
        <v>372</v>
      </c>
      <c r="B153" s="4" t="s">
        <v>373</v>
      </c>
      <c r="C153" s="41" t="s">
        <v>41</v>
      </c>
      <c r="D153" s="31" t="s">
        <v>168</v>
      </c>
      <c r="E153" s="4" t="s">
        <v>107</v>
      </c>
      <c r="F153" s="4">
        <v>1</v>
      </c>
      <c r="G153" s="4">
        <v>1</v>
      </c>
      <c r="H153" s="4"/>
      <c r="I153" s="29" t="s">
        <v>374</v>
      </c>
      <c r="J153" s="31"/>
      <c r="K153" s="4"/>
      <c r="L153" s="4"/>
      <c r="M153" s="16">
        <v>1</v>
      </c>
      <c r="N153" s="5">
        <v>1</v>
      </c>
      <c r="O153" s="5"/>
      <c r="P153" s="5">
        <v>0</v>
      </c>
      <c r="Q153" s="53">
        <v>1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1</v>
      </c>
      <c r="Y153" s="5">
        <v>0</v>
      </c>
      <c r="Z153" s="5">
        <v>0</v>
      </c>
      <c r="AA153" s="5">
        <v>1</v>
      </c>
      <c r="AB153" s="5">
        <v>0</v>
      </c>
      <c r="AC153" s="5">
        <v>0</v>
      </c>
      <c r="AD153" s="56">
        <v>0</v>
      </c>
      <c r="AE153" s="20">
        <v>151</v>
      </c>
      <c r="AF153" s="142"/>
    </row>
    <row r="154" spans="1:32" ht="15">
      <c r="A154" s="47" t="s">
        <v>375</v>
      </c>
      <c r="B154" s="4" t="s">
        <v>376</v>
      </c>
      <c r="C154" s="41" t="s">
        <v>41</v>
      </c>
      <c r="D154" s="35" t="s">
        <v>168</v>
      </c>
      <c r="E154" s="4" t="s">
        <v>107</v>
      </c>
      <c r="F154" s="4">
        <v>1</v>
      </c>
      <c r="G154" s="4">
        <v>1</v>
      </c>
      <c r="H154" s="4" t="s">
        <v>108</v>
      </c>
      <c r="I154" s="24" t="str">
        <f>A154</f>
        <v>S4.020.437</v>
      </c>
      <c r="J154" s="35"/>
      <c r="K154" s="4"/>
      <c r="L154" s="4"/>
      <c r="M154" s="16">
        <v>1</v>
      </c>
      <c r="N154" s="5">
        <v>3</v>
      </c>
      <c r="O154" s="5"/>
      <c r="P154" s="5">
        <v>0</v>
      </c>
      <c r="Q154" s="5">
        <v>3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3</v>
      </c>
      <c r="Y154" s="5">
        <v>0</v>
      </c>
      <c r="Z154" s="5">
        <v>0</v>
      </c>
      <c r="AA154" s="5">
        <v>3</v>
      </c>
      <c r="AB154" s="5">
        <v>0</v>
      </c>
      <c r="AC154" s="5">
        <v>0</v>
      </c>
      <c r="AD154" s="56">
        <v>0</v>
      </c>
      <c r="AE154" s="53">
        <v>152</v>
      </c>
      <c r="AF154" s="142"/>
    </row>
    <row r="155" spans="1:32" ht="15">
      <c r="A155" s="47" t="s">
        <v>377</v>
      </c>
      <c r="B155" s="4" t="s">
        <v>378</v>
      </c>
      <c r="C155" s="41" t="s">
        <v>41</v>
      </c>
      <c r="D155" s="31" t="s">
        <v>168</v>
      </c>
      <c r="E155" s="4" t="s">
        <v>107</v>
      </c>
      <c r="F155" s="4">
        <v>1</v>
      </c>
      <c r="G155" s="10">
        <v>1</v>
      </c>
      <c r="H155" s="4"/>
      <c r="I155" s="29" t="s">
        <v>374</v>
      </c>
      <c r="J155" s="31"/>
      <c r="K155" s="4"/>
      <c r="L155" s="4"/>
      <c r="M155" s="16">
        <v>1</v>
      </c>
      <c r="N155" s="5">
        <v>1</v>
      </c>
      <c r="O155" s="5"/>
      <c r="P155" s="5">
        <v>0</v>
      </c>
      <c r="Q155" s="53">
        <v>1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1</v>
      </c>
      <c r="Y155" s="5">
        <v>0</v>
      </c>
      <c r="Z155" s="5">
        <v>0</v>
      </c>
      <c r="AA155" s="5">
        <v>1</v>
      </c>
      <c r="AB155" s="5">
        <v>0</v>
      </c>
      <c r="AC155" s="5">
        <v>0</v>
      </c>
      <c r="AD155" s="56">
        <v>0</v>
      </c>
      <c r="AE155" s="53">
        <v>153</v>
      </c>
      <c r="AF155" s="142"/>
    </row>
    <row r="156" spans="1:32" ht="15">
      <c r="A156" s="47" t="s">
        <v>379</v>
      </c>
      <c r="B156" s="4" t="s">
        <v>380</v>
      </c>
      <c r="C156" s="40" t="s">
        <v>41</v>
      </c>
      <c r="D156" s="35" t="s">
        <v>168</v>
      </c>
      <c r="E156" s="4" t="s">
        <v>107</v>
      </c>
      <c r="F156" s="4">
        <v>1</v>
      </c>
      <c r="G156" s="110">
        <v>1</v>
      </c>
      <c r="H156" s="4"/>
      <c r="I156" s="29" t="s">
        <v>374</v>
      </c>
      <c r="J156" s="35"/>
      <c r="K156" s="4"/>
      <c r="L156" s="4"/>
      <c r="M156" s="16">
        <v>1</v>
      </c>
      <c r="N156" s="5">
        <v>1</v>
      </c>
      <c r="O156" s="5"/>
      <c r="P156" s="5">
        <v>0</v>
      </c>
      <c r="Q156" s="53">
        <v>1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1</v>
      </c>
      <c r="Y156" s="5">
        <v>0</v>
      </c>
      <c r="Z156" s="5">
        <v>0</v>
      </c>
      <c r="AA156" s="5">
        <v>1</v>
      </c>
      <c r="AB156" s="5">
        <v>0</v>
      </c>
      <c r="AC156" s="5">
        <v>0</v>
      </c>
      <c r="AD156" s="56">
        <v>0</v>
      </c>
      <c r="AE156" s="53">
        <v>154</v>
      </c>
      <c r="AF156" s="142"/>
    </row>
    <row r="157" spans="1:32" ht="15">
      <c r="A157" s="47" t="s">
        <v>381</v>
      </c>
      <c r="B157" s="4" t="s">
        <v>382</v>
      </c>
      <c r="C157" s="40" t="s">
        <v>41</v>
      </c>
      <c r="D157" s="31" t="s">
        <v>168</v>
      </c>
      <c r="E157" s="4" t="s">
        <v>107</v>
      </c>
      <c r="F157" s="4">
        <v>1</v>
      </c>
      <c r="G157" s="4">
        <v>1</v>
      </c>
      <c r="H157" s="4" t="s">
        <v>108</v>
      </c>
      <c r="I157" s="24" t="str">
        <f>A157</f>
        <v>S4.020.441</v>
      </c>
      <c r="J157" s="31"/>
      <c r="K157" s="4"/>
      <c r="L157" s="4"/>
      <c r="M157" s="16">
        <v>1</v>
      </c>
      <c r="N157" s="5">
        <v>1</v>
      </c>
      <c r="O157" s="5"/>
      <c r="P157" s="5">
        <v>0</v>
      </c>
      <c r="Q157" s="53">
        <v>1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1</v>
      </c>
      <c r="Y157" s="5">
        <v>0</v>
      </c>
      <c r="Z157" s="5">
        <v>0</v>
      </c>
      <c r="AA157" s="5">
        <v>1</v>
      </c>
      <c r="AB157" s="5">
        <v>0</v>
      </c>
      <c r="AC157" s="5">
        <v>0</v>
      </c>
      <c r="AD157" s="56">
        <v>0</v>
      </c>
      <c r="AE157" s="20">
        <v>155</v>
      </c>
      <c r="AF157" s="142"/>
    </row>
    <row r="158" spans="1:32" ht="15">
      <c r="A158" s="47" t="s">
        <v>383</v>
      </c>
      <c r="B158" s="4" t="s">
        <v>384</v>
      </c>
      <c r="C158" s="41" t="s">
        <v>41</v>
      </c>
      <c r="D158" s="35" t="s">
        <v>168</v>
      </c>
      <c r="E158" s="4" t="s">
        <v>107</v>
      </c>
      <c r="F158" s="4">
        <v>4</v>
      </c>
      <c r="G158" s="4">
        <v>1</v>
      </c>
      <c r="H158" s="4" t="s">
        <v>108</v>
      </c>
      <c r="I158" s="24" t="str">
        <f>A158</f>
        <v>S4.030.405</v>
      </c>
      <c r="J158" s="35"/>
      <c r="K158" s="4"/>
      <c r="L158" s="4"/>
      <c r="M158" s="16">
        <v>1</v>
      </c>
      <c r="N158" s="5">
        <v>1</v>
      </c>
      <c r="O158" s="5"/>
      <c r="P158" s="5">
        <v>0</v>
      </c>
      <c r="Q158" s="53">
        <v>1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1</v>
      </c>
      <c r="Y158" s="5">
        <v>0</v>
      </c>
      <c r="Z158" s="5">
        <v>0</v>
      </c>
      <c r="AA158" s="5">
        <v>3</v>
      </c>
      <c r="AB158" s="5">
        <v>0</v>
      </c>
      <c r="AC158" s="5">
        <v>0</v>
      </c>
      <c r="AD158" s="56">
        <v>0</v>
      </c>
      <c r="AE158" s="20">
        <v>156</v>
      </c>
      <c r="AF158" s="142"/>
    </row>
    <row r="159" spans="1:32" ht="15">
      <c r="A159" s="47" t="s">
        <v>385</v>
      </c>
      <c r="B159" s="4" t="s">
        <v>386</v>
      </c>
      <c r="C159" s="41" t="s">
        <v>41</v>
      </c>
      <c r="D159" s="31" t="s">
        <v>168</v>
      </c>
      <c r="E159" s="4" t="s">
        <v>107</v>
      </c>
      <c r="F159" s="4">
        <v>4</v>
      </c>
      <c r="G159" s="4">
        <v>1</v>
      </c>
      <c r="H159" s="4" t="s">
        <v>108</v>
      </c>
      <c r="I159" s="24" t="str">
        <f>A159</f>
        <v>S4.030.410</v>
      </c>
      <c r="J159" s="31"/>
      <c r="K159" s="4"/>
      <c r="L159" s="4"/>
      <c r="M159" s="16">
        <v>1</v>
      </c>
      <c r="N159" s="5">
        <v>1</v>
      </c>
      <c r="O159" s="5"/>
      <c r="P159" s="5">
        <v>0</v>
      </c>
      <c r="Q159" s="53">
        <v>1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1</v>
      </c>
      <c r="Y159" s="5">
        <v>0</v>
      </c>
      <c r="Z159" s="5">
        <v>0</v>
      </c>
      <c r="AA159" s="5">
        <v>1</v>
      </c>
      <c r="AB159" s="5">
        <v>0</v>
      </c>
      <c r="AC159" s="5">
        <v>0</v>
      </c>
      <c r="AD159" s="56">
        <v>0</v>
      </c>
      <c r="AE159" s="53">
        <v>157</v>
      </c>
      <c r="AF159" s="142"/>
    </row>
    <row r="160" spans="1:32" ht="15">
      <c r="A160" s="47" t="s">
        <v>387</v>
      </c>
      <c r="B160" s="4" t="s">
        <v>388</v>
      </c>
      <c r="C160" s="41" t="s">
        <v>41</v>
      </c>
      <c r="D160" s="35" t="s">
        <v>168</v>
      </c>
      <c r="E160" s="4" t="s">
        <v>119</v>
      </c>
      <c r="F160" s="4">
        <v>2</v>
      </c>
      <c r="G160" s="4">
        <v>1</v>
      </c>
      <c r="H160" s="4" t="s">
        <v>120</v>
      </c>
      <c r="I160" s="29" t="s">
        <v>389</v>
      </c>
      <c r="J160" s="35"/>
      <c r="K160" s="4"/>
      <c r="L160" s="4"/>
      <c r="M160" s="16">
        <v>1</v>
      </c>
      <c r="N160" s="5">
        <v>1</v>
      </c>
      <c r="O160" s="5"/>
      <c r="P160" s="5">
        <v>0</v>
      </c>
      <c r="Q160" s="53">
        <v>1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1</v>
      </c>
      <c r="Y160" s="5">
        <v>0</v>
      </c>
      <c r="Z160" s="5">
        <v>0</v>
      </c>
      <c r="AA160" s="5">
        <v>1</v>
      </c>
      <c r="AB160" s="5">
        <v>0</v>
      </c>
      <c r="AC160" s="5">
        <v>0</v>
      </c>
      <c r="AD160" s="56">
        <v>0</v>
      </c>
      <c r="AE160" s="53">
        <v>158</v>
      </c>
      <c r="AF160" s="142"/>
    </row>
    <row r="161" spans="1:32" ht="15">
      <c r="A161" s="47" t="s">
        <v>390</v>
      </c>
      <c r="B161" s="4" t="s">
        <v>391</v>
      </c>
      <c r="C161" s="40" t="s">
        <v>41</v>
      </c>
      <c r="D161" s="31" t="s">
        <v>168</v>
      </c>
      <c r="E161" s="4" t="s">
        <v>119</v>
      </c>
      <c r="F161" s="4">
        <v>3</v>
      </c>
      <c r="G161" s="4">
        <v>1</v>
      </c>
      <c r="H161" s="4" t="s">
        <v>120</v>
      </c>
      <c r="I161" s="24" t="str">
        <f t="shared" ref="I161:I168" si="10">A161</f>
        <v>S5.020.504</v>
      </c>
      <c r="J161" s="31"/>
      <c r="K161" s="4"/>
      <c r="L161" s="4"/>
      <c r="M161" s="16">
        <v>1</v>
      </c>
      <c r="N161" s="5">
        <v>3</v>
      </c>
      <c r="O161" s="5"/>
      <c r="P161" s="5">
        <v>0</v>
      </c>
      <c r="Q161" s="5">
        <v>3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2</v>
      </c>
      <c r="Y161" s="5">
        <v>0</v>
      </c>
      <c r="Z161" s="5">
        <v>0</v>
      </c>
      <c r="AA161" s="5">
        <v>2</v>
      </c>
      <c r="AB161" s="5">
        <v>0</v>
      </c>
      <c r="AC161" s="5">
        <v>0</v>
      </c>
      <c r="AD161" s="56">
        <v>0</v>
      </c>
      <c r="AE161" s="53">
        <v>159</v>
      </c>
      <c r="AF161" s="142"/>
    </row>
    <row r="162" spans="1:32" ht="15">
      <c r="A162" s="47" t="s">
        <v>392</v>
      </c>
      <c r="B162" s="4" t="s">
        <v>393</v>
      </c>
      <c r="C162" s="40" t="s">
        <v>41</v>
      </c>
      <c r="D162" s="35" t="s">
        <v>168</v>
      </c>
      <c r="E162" s="4" t="s">
        <v>119</v>
      </c>
      <c r="F162" s="4">
        <v>3</v>
      </c>
      <c r="G162" s="4">
        <v>1</v>
      </c>
      <c r="H162" s="4" t="s">
        <v>120</v>
      </c>
      <c r="I162" s="24" t="str">
        <f t="shared" si="10"/>
        <v>S5.020.505</v>
      </c>
      <c r="J162" s="35"/>
      <c r="K162" s="4"/>
      <c r="L162" s="4"/>
      <c r="M162" s="16">
        <v>1</v>
      </c>
      <c r="N162" s="5">
        <v>1</v>
      </c>
      <c r="O162" s="5"/>
      <c r="P162" s="5">
        <v>0</v>
      </c>
      <c r="Q162" s="53">
        <v>1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1</v>
      </c>
      <c r="Y162" s="5">
        <v>0</v>
      </c>
      <c r="Z162" s="5">
        <v>0</v>
      </c>
      <c r="AA162" s="5">
        <v>1</v>
      </c>
      <c r="AB162" s="5">
        <v>0</v>
      </c>
      <c r="AC162" s="5">
        <v>0</v>
      </c>
      <c r="AD162" s="56">
        <v>0</v>
      </c>
      <c r="AE162" s="20">
        <v>160</v>
      </c>
      <c r="AF162" s="142"/>
    </row>
    <row r="163" spans="1:32" ht="15">
      <c r="A163" s="47" t="s">
        <v>394</v>
      </c>
      <c r="B163" s="4" t="s">
        <v>395</v>
      </c>
      <c r="C163" s="41" t="s">
        <v>41</v>
      </c>
      <c r="D163" s="31" t="s">
        <v>168</v>
      </c>
      <c r="E163" s="4" t="s">
        <v>119</v>
      </c>
      <c r="F163" s="4">
        <v>3</v>
      </c>
      <c r="G163" s="4">
        <v>1</v>
      </c>
      <c r="H163" s="4" t="s">
        <v>120</v>
      </c>
      <c r="I163" s="24" t="str">
        <f t="shared" si="10"/>
        <v>S5.020.506</v>
      </c>
      <c r="J163" s="31"/>
      <c r="K163" s="4"/>
      <c r="L163" s="4"/>
      <c r="M163" s="16">
        <v>1</v>
      </c>
      <c r="N163" s="5">
        <v>1</v>
      </c>
      <c r="O163" s="5"/>
      <c r="P163" s="5">
        <v>0</v>
      </c>
      <c r="Q163" s="53">
        <v>1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1</v>
      </c>
      <c r="Y163" s="5">
        <v>0</v>
      </c>
      <c r="Z163" s="5">
        <v>0</v>
      </c>
      <c r="AA163" s="5">
        <v>1</v>
      </c>
      <c r="AB163" s="5">
        <v>0</v>
      </c>
      <c r="AC163" s="5">
        <v>0</v>
      </c>
      <c r="AD163" s="56">
        <v>0</v>
      </c>
      <c r="AE163" s="20">
        <v>161</v>
      </c>
      <c r="AF163" s="142"/>
    </row>
    <row r="164" spans="1:32" ht="15">
      <c r="A164" s="47" t="s">
        <v>396</v>
      </c>
      <c r="B164" s="4" t="s">
        <v>397</v>
      </c>
      <c r="C164" s="41" t="s">
        <v>41</v>
      </c>
      <c r="D164" s="35" t="s">
        <v>168</v>
      </c>
      <c r="E164" s="4" t="s">
        <v>119</v>
      </c>
      <c r="F164" s="4">
        <v>3</v>
      </c>
      <c r="G164" s="4">
        <v>1</v>
      </c>
      <c r="H164" s="4" t="s">
        <v>120</v>
      </c>
      <c r="I164" s="24" t="str">
        <f t="shared" si="10"/>
        <v>S5.020.510</v>
      </c>
      <c r="J164" s="35"/>
      <c r="K164" s="4"/>
      <c r="L164" s="4"/>
      <c r="M164" s="16">
        <v>1</v>
      </c>
      <c r="N164" s="5">
        <v>1</v>
      </c>
      <c r="O164" s="5"/>
      <c r="P164" s="5">
        <v>0</v>
      </c>
      <c r="Q164" s="53">
        <v>1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1</v>
      </c>
      <c r="Y164" s="5">
        <v>0</v>
      </c>
      <c r="Z164" s="5">
        <v>0</v>
      </c>
      <c r="AA164" s="5">
        <v>1</v>
      </c>
      <c r="AB164" s="5">
        <v>0</v>
      </c>
      <c r="AC164" s="5">
        <v>0</v>
      </c>
      <c r="AD164" s="56">
        <v>0</v>
      </c>
      <c r="AE164" s="53">
        <v>162</v>
      </c>
      <c r="AF164" s="142"/>
    </row>
    <row r="165" spans="1:32" ht="15">
      <c r="A165" s="47" t="s">
        <v>398</v>
      </c>
      <c r="B165" s="4" t="s">
        <v>399</v>
      </c>
      <c r="C165" s="41" t="s">
        <v>41</v>
      </c>
      <c r="D165" s="31" t="s">
        <v>168</v>
      </c>
      <c r="E165" s="4" t="s">
        <v>119</v>
      </c>
      <c r="F165" s="4">
        <v>3</v>
      </c>
      <c r="G165" s="4">
        <v>1</v>
      </c>
      <c r="H165" s="4" t="s">
        <v>120</v>
      </c>
      <c r="I165" s="24" t="str">
        <f t="shared" si="10"/>
        <v>S5.020.511</v>
      </c>
      <c r="J165" s="31"/>
      <c r="K165" s="4"/>
      <c r="L165" s="4"/>
      <c r="M165" s="16">
        <v>1</v>
      </c>
      <c r="N165" s="5">
        <v>2</v>
      </c>
      <c r="O165" s="5"/>
      <c r="P165" s="5">
        <v>0</v>
      </c>
      <c r="Q165" s="5">
        <v>2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1</v>
      </c>
      <c r="Y165" s="5">
        <v>0</v>
      </c>
      <c r="Z165" s="5">
        <v>0</v>
      </c>
      <c r="AA165" s="5">
        <v>1</v>
      </c>
      <c r="AB165" s="5">
        <v>0</v>
      </c>
      <c r="AC165" s="5">
        <v>0</v>
      </c>
      <c r="AD165" s="56">
        <v>0</v>
      </c>
      <c r="AE165" s="53">
        <v>163</v>
      </c>
      <c r="AF165" s="142"/>
    </row>
    <row r="166" spans="1:32" ht="15">
      <c r="A166" s="47" t="s">
        <v>400</v>
      </c>
      <c r="B166" s="4" t="s">
        <v>401</v>
      </c>
      <c r="C166" s="40" t="s">
        <v>41</v>
      </c>
      <c r="D166" s="35" t="s">
        <v>168</v>
      </c>
      <c r="E166" s="4" t="s">
        <v>119</v>
      </c>
      <c r="F166" s="4">
        <v>2</v>
      </c>
      <c r="G166" s="4">
        <v>1</v>
      </c>
      <c r="H166" s="4" t="s">
        <v>120</v>
      </c>
      <c r="I166" s="24" t="str">
        <f t="shared" si="10"/>
        <v>S5.020.515</v>
      </c>
      <c r="J166" s="35"/>
      <c r="K166" s="4"/>
      <c r="L166" s="4"/>
      <c r="M166" s="16">
        <v>1</v>
      </c>
      <c r="N166" s="5">
        <v>1</v>
      </c>
      <c r="O166" s="5"/>
      <c r="P166" s="5">
        <v>0</v>
      </c>
      <c r="Q166" s="53">
        <v>1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1</v>
      </c>
      <c r="Y166" s="5">
        <v>0</v>
      </c>
      <c r="Z166" s="5">
        <v>0</v>
      </c>
      <c r="AA166" s="5">
        <v>1</v>
      </c>
      <c r="AB166" s="5">
        <v>0</v>
      </c>
      <c r="AC166" s="5">
        <v>0</v>
      </c>
      <c r="AD166" s="56">
        <v>0</v>
      </c>
      <c r="AE166" s="53">
        <v>164</v>
      </c>
      <c r="AF166" s="142"/>
    </row>
    <row r="167" spans="1:32" ht="15">
      <c r="A167" s="47" t="s">
        <v>402</v>
      </c>
      <c r="B167" s="4" t="s">
        <v>403</v>
      </c>
      <c r="C167" s="40" t="s">
        <v>41</v>
      </c>
      <c r="D167" s="31" t="s">
        <v>168</v>
      </c>
      <c r="E167" s="4" t="s">
        <v>119</v>
      </c>
      <c r="F167" s="4">
        <v>2</v>
      </c>
      <c r="G167" s="4">
        <v>1</v>
      </c>
      <c r="H167" s="4" t="s">
        <v>120</v>
      </c>
      <c r="I167" s="24" t="str">
        <f t="shared" si="10"/>
        <v>S5.020.519</v>
      </c>
      <c r="J167" s="31"/>
      <c r="K167" s="4"/>
      <c r="L167" s="4"/>
      <c r="M167" s="16">
        <v>1</v>
      </c>
      <c r="N167" s="5">
        <v>1</v>
      </c>
      <c r="O167" s="5"/>
      <c r="P167" s="5">
        <v>0</v>
      </c>
      <c r="Q167" s="53">
        <v>1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1</v>
      </c>
      <c r="Y167" s="5">
        <v>0</v>
      </c>
      <c r="Z167" s="5">
        <v>0</v>
      </c>
      <c r="AA167" s="5">
        <v>1</v>
      </c>
      <c r="AB167" s="5">
        <v>0</v>
      </c>
      <c r="AC167" s="5">
        <v>0</v>
      </c>
      <c r="AD167" s="56">
        <v>0</v>
      </c>
      <c r="AE167" s="20">
        <v>165</v>
      </c>
      <c r="AF167" s="142"/>
    </row>
    <row r="168" spans="1:32" ht="15">
      <c r="A168" s="47" t="s">
        <v>404</v>
      </c>
      <c r="B168" s="4" t="s">
        <v>405</v>
      </c>
      <c r="C168" s="41" t="s">
        <v>41</v>
      </c>
      <c r="D168" s="35" t="s">
        <v>168</v>
      </c>
      <c r="E168" s="4" t="s">
        <v>119</v>
      </c>
      <c r="F168" s="4">
        <v>1</v>
      </c>
      <c r="G168" s="4">
        <v>1</v>
      </c>
      <c r="H168" s="4" t="s">
        <v>120</v>
      </c>
      <c r="I168" s="24" t="str">
        <f t="shared" si="10"/>
        <v>S5.020.534</v>
      </c>
      <c r="J168" s="35"/>
      <c r="K168" s="4"/>
      <c r="L168" s="4"/>
      <c r="M168" s="16">
        <v>1</v>
      </c>
      <c r="N168" s="5">
        <v>1</v>
      </c>
      <c r="O168" s="5"/>
      <c r="P168" s="5">
        <v>0</v>
      </c>
      <c r="Q168" s="53">
        <v>1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1</v>
      </c>
      <c r="Y168" s="5">
        <v>0</v>
      </c>
      <c r="Z168" s="5">
        <v>0</v>
      </c>
      <c r="AA168" s="5">
        <v>1</v>
      </c>
      <c r="AB168" s="5">
        <v>0</v>
      </c>
      <c r="AC168" s="5">
        <v>0</v>
      </c>
      <c r="AD168" s="56">
        <v>0</v>
      </c>
      <c r="AE168" s="20">
        <v>166</v>
      </c>
      <c r="AF168" s="142"/>
    </row>
    <row r="169" spans="1:32" ht="15">
      <c r="A169" s="47" t="s">
        <v>406</v>
      </c>
      <c r="B169" s="4" t="s">
        <v>407</v>
      </c>
      <c r="C169" s="41" t="s">
        <v>41</v>
      </c>
      <c r="D169" s="31" t="s">
        <v>168</v>
      </c>
      <c r="E169" s="4" t="s">
        <v>119</v>
      </c>
      <c r="F169" s="4">
        <v>1</v>
      </c>
      <c r="G169" s="10">
        <v>1</v>
      </c>
      <c r="H169" s="4"/>
      <c r="I169" s="29" t="s">
        <v>408</v>
      </c>
      <c r="J169" s="31"/>
      <c r="K169" s="4"/>
      <c r="L169" s="4"/>
      <c r="M169" s="16">
        <v>1</v>
      </c>
      <c r="N169" s="5">
        <v>1</v>
      </c>
      <c r="O169" s="5"/>
      <c r="P169" s="5">
        <v>0</v>
      </c>
      <c r="Q169" s="53">
        <v>1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1</v>
      </c>
      <c r="Y169" s="5">
        <v>0</v>
      </c>
      <c r="Z169" s="5">
        <v>0</v>
      </c>
      <c r="AA169" s="5">
        <v>1</v>
      </c>
      <c r="AB169" s="5">
        <v>0</v>
      </c>
      <c r="AC169" s="5">
        <v>0</v>
      </c>
      <c r="AD169" s="56">
        <v>0</v>
      </c>
      <c r="AE169" s="53">
        <v>167</v>
      </c>
      <c r="AF169" s="142"/>
    </row>
    <row r="170" spans="1:32" ht="15">
      <c r="A170" s="47" t="s">
        <v>409</v>
      </c>
      <c r="B170" s="4" t="s">
        <v>410</v>
      </c>
      <c r="C170" s="41" t="s">
        <v>41</v>
      </c>
      <c r="D170" s="35" t="s">
        <v>168</v>
      </c>
      <c r="E170" s="4" t="s">
        <v>119</v>
      </c>
      <c r="F170" s="4">
        <v>1</v>
      </c>
      <c r="G170" s="110">
        <v>1</v>
      </c>
      <c r="H170" s="4" t="s">
        <v>120</v>
      </c>
      <c r="I170" s="24" t="str">
        <f>A170</f>
        <v>S5.020.537</v>
      </c>
      <c r="J170" s="35"/>
      <c r="K170" s="4"/>
      <c r="L170" s="4"/>
      <c r="M170" s="16">
        <v>1</v>
      </c>
      <c r="N170" s="5">
        <v>3</v>
      </c>
      <c r="O170" s="5"/>
      <c r="P170" s="5">
        <v>0</v>
      </c>
      <c r="Q170" s="5">
        <v>3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3</v>
      </c>
      <c r="Y170" s="5">
        <v>0</v>
      </c>
      <c r="Z170" s="5">
        <v>0</v>
      </c>
      <c r="AA170" s="5">
        <v>3</v>
      </c>
      <c r="AB170" s="5">
        <v>0</v>
      </c>
      <c r="AC170" s="5">
        <v>0</v>
      </c>
      <c r="AD170" s="56">
        <v>0</v>
      </c>
      <c r="AE170" s="53">
        <v>168</v>
      </c>
      <c r="AF170" s="142"/>
    </row>
    <row r="171" spans="1:32" ht="15">
      <c r="A171" s="47" t="s">
        <v>411</v>
      </c>
      <c r="B171" s="4" t="s">
        <v>412</v>
      </c>
      <c r="C171" s="40" t="s">
        <v>41</v>
      </c>
      <c r="D171" s="31" t="s">
        <v>168</v>
      </c>
      <c r="E171" s="4" t="s">
        <v>119</v>
      </c>
      <c r="F171" s="4">
        <v>1</v>
      </c>
      <c r="G171" s="4">
        <v>1</v>
      </c>
      <c r="H171" s="4"/>
      <c r="I171" s="29" t="s">
        <v>408</v>
      </c>
      <c r="J171" s="31"/>
      <c r="K171" s="4"/>
      <c r="L171" s="4"/>
      <c r="M171" s="16">
        <v>1</v>
      </c>
      <c r="N171" s="5">
        <v>1</v>
      </c>
      <c r="O171" s="5"/>
      <c r="P171" s="5">
        <v>0</v>
      </c>
      <c r="Q171" s="53">
        <v>1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1</v>
      </c>
      <c r="Y171" s="5">
        <v>0</v>
      </c>
      <c r="Z171" s="5">
        <v>0</v>
      </c>
      <c r="AA171" s="5">
        <v>1</v>
      </c>
      <c r="AB171" s="5">
        <v>0</v>
      </c>
      <c r="AC171" s="5">
        <v>0</v>
      </c>
      <c r="AD171" s="56">
        <v>0</v>
      </c>
      <c r="AE171" s="53">
        <v>169</v>
      </c>
      <c r="AF171" s="142"/>
    </row>
    <row r="172" spans="1:32" ht="15">
      <c r="A172" s="47" t="s">
        <v>413</v>
      </c>
      <c r="B172" s="4" t="s">
        <v>414</v>
      </c>
      <c r="C172" s="40" t="s">
        <v>41</v>
      </c>
      <c r="D172" s="35" t="s">
        <v>168</v>
      </c>
      <c r="E172" s="4" t="s">
        <v>119</v>
      </c>
      <c r="F172" s="4">
        <v>1</v>
      </c>
      <c r="G172" s="4">
        <v>1</v>
      </c>
      <c r="H172" s="4"/>
      <c r="I172" s="29" t="s">
        <v>408</v>
      </c>
      <c r="J172" s="35"/>
      <c r="K172" s="4"/>
      <c r="L172" s="4"/>
      <c r="M172" s="16">
        <v>1</v>
      </c>
      <c r="N172" s="5">
        <v>1</v>
      </c>
      <c r="O172" s="5"/>
      <c r="P172" s="5">
        <v>0</v>
      </c>
      <c r="Q172" s="53">
        <v>1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1</v>
      </c>
      <c r="Y172" s="5">
        <v>0</v>
      </c>
      <c r="Z172" s="5">
        <v>0</v>
      </c>
      <c r="AA172" s="5">
        <v>1</v>
      </c>
      <c r="AB172" s="5">
        <v>0</v>
      </c>
      <c r="AC172" s="5">
        <v>0</v>
      </c>
      <c r="AD172" s="56">
        <v>0</v>
      </c>
      <c r="AE172" s="20">
        <v>170</v>
      </c>
      <c r="AF172" s="142"/>
    </row>
    <row r="173" spans="1:32" ht="15">
      <c r="A173" s="47" t="s">
        <v>415</v>
      </c>
      <c r="B173" s="4" t="s">
        <v>416</v>
      </c>
      <c r="C173" s="41" t="s">
        <v>41</v>
      </c>
      <c r="D173" s="31" t="s">
        <v>168</v>
      </c>
      <c r="E173" s="4" t="s">
        <v>119</v>
      </c>
      <c r="F173" s="4">
        <v>1</v>
      </c>
      <c r="G173" s="4">
        <v>1</v>
      </c>
      <c r="H173" s="4" t="s">
        <v>120</v>
      </c>
      <c r="I173" s="24" t="str">
        <f>A173</f>
        <v>S5.020.541</v>
      </c>
      <c r="J173" s="31"/>
      <c r="K173" s="4"/>
      <c r="L173" s="4"/>
      <c r="M173" s="16">
        <v>1</v>
      </c>
      <c r="N173" s="5">
        <v>1</v>
      </c>
      <c r="O173" s="5"/>
      <c r="P173" s="5">
        <v>0</v>
      </c>
      <c r="Q173" s="53">
        <v>1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1</v>
      </c>
      <c r="Y173" s="5">
        <v>0</v>
      </c>
      <c r="Z173" s="5">
        <v>0</v>
      </c>
      <c r="AA173" s="5">
        <v>1</v>
      </c>
      <c r="AB173" s="5">
        <v>0</v>
      </c>
      <c r="AC173" s="5">
        <v>0</v>
      </c>
      <c r="AD173" s="56">
        <v>0</v>
      </c>
      <c r="AE173" s="20">
        <v>171</v>
      </c>
      <c r="AF173" s="142"/>
    </row>
    <row r="174" spans="1:32" ht="15">
      <c r="A174" s="47" t="s">
        <v>417</v>
      </c>
      <c r="B174" s="4" t="s">
        <v>418</v>
      </c>
      <c r="C174" s="41" t="s">
        <v>41</v>
      </c>
      <c r="D174" s="35" t="s">
        <v>168</v>
      </c>
      <c r="E174" s="4" t="s">
        <v>119</v>
      </c>
      <c r="F174" s="4">
        <v>4</v>
      </c>
      <c r="G174" s="4">
        <v>1</v>
      </c>
      <c r="H174" s="4" t="s">
        <v>120</v>
      </c>
      <c r="I174" s="24" t="str">
        <f>A174</f>
        <v>S5.030.505</v>
      </c>
      <c r="J174" s="35"/>
      <c r="K174" s="4"/>
      <c r="L174" s="4"/>
      <c r="M174" s="16">
        <v>1</v>
      </c>
      <c r="N174" s="5">
        <v>1</v>
      </c>
      <c r="O174" s="5"/>
      <c r="P174" s="5">
        <v>0</v>
      </c>
      <c r="Q174" s="53">
        <v>1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1</v>
      </c>
      <c r="Y174" s="5">
        <v>0</v>
      </c>
      <c r="Z174" s="5">
        <v>0</v>
      </c>
      <c r="AA174" s="5">
        <v>3</v>
      </c>
      <c r="AB174" s="5">
        <v>0</v>
      </c>
      <c r="AC174" s="5">
        <v>0</v>
      </c>
      <c r="AD174" s="56">
        <v>0</v>
      </c>
      <c r="AE174" s="53">
        <v>172</v>
      </c>
      <c r="AF174" s="142"/>
    </row>
    <row r="175" spans="1:32" ht="15">
      <c r="A175" s="47" t="s">
        <v>419</v>
      </c>
      <c r="B175" s="4" t="s">
        <v>420</v>
      </c>
      <c r="C175" s="41" t="s">
        <v>41</v>
      </c>
      <c r="D175" s="31" t="s">
        <v>168</v>
      </c>
      <c r="E175" s="4" t="s">
        <v>119</v>
      </c>
      <c r="F175" s="4">
        <v>4</v>
      </c>
      <c r="G175" s="4">
        <v>1</v>
      </c>
      <c r="H175" s="4" t="s">
        <v>120</v>
      </c>
      <c r="I175" s="24" t="str">
        <f>A175</f>
        <v>S5.030.510</v>
      </c>
      <c r="J175" s="31"/>
      <c r="K175" s="4"/>
      <c r="L175" s="4"/>
      <c r="M175" s="16">
        <v>1</v>
      </c>
      <c r="N175" s="5">
        <v>1</v>
      </c>
      <c r="O175" s="5"/>
      <c r="P175" s="5">
        <v>0</v>
      </c>
      <c r="Q175" s="53">
        <v>1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1</v>
      </c>
      <c r="Y175" s="5">
        <v>0</v>
      </c>
      <c r="Z175" s="5">
        <v>0</v>
      </c>
      <c r="AA175" s="5">
        <v>1</v>
      </c>
      <c r="AB175" s="5">
        <v>0</v>
      </c>
      <c r="AC175" s="5">
        <v>0</v>
      </c>
      <c r="AD175" s="56">
        <v>0</v>
      </c>
      <c r="AE175" s="53">
        <v>173</v>
      </c>
      <c r="AF175" s="142"/>
    </row>
    <row r="176" spans="1:32" ht="15">
      <c r="A176" s="47" t="s">
        <v>421</v>
      </c>
      <c r="B176" s="4" t="s">
        <v>422</v>
      </c>
      <c r="C176" s="40" t="s">
        <v>41</v>
      </c>
      <c r="D176" s="35" t="s">
        <v>168</v>
      </c>
      <c r="E176" s="4" t="s">
        <v>131</v>
      </c>
      <c r="F176" s="4">
        <v>2</v>
      </c>
      <c r="G176" s="4">
        <v>1</v>
      </c>
      <c r="H176" s="4" t="s">
        <v>132</v>
      </c>
      <c r="I176" s="29" t="s">
        <v>423</v>
      </c>
      <c r="J176" s="35"/>
      <c r="K176" s="4"/>
      <c r="L176" s="4"/>
      <c r="M176" s="16">
        <v>1</v>
      </c>
      <c r="N176" s="5">
        <v>1</v>
      </c>
      <c r="O176" s="5"/>
      <c r="P176" s="5">
        <v>0</v>
      </c>
      <c r="Q176" s="53">
        <v>1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1</v>
      </c>
      <c r="Y176" s="5">
        <v>0</v>
      </c>
      <c r="Z176" s="5">
        <v>0</v>
      </c>
      <c r="AA176" s="5">
        <v>1</v>
      </c>
      <c r="AB176" s="5">
        <v>0</v>
      </c>
      <c r="AC176" s="5">
        <v>0</v>
      </c>
      <c r="AD176" s="56">
        <v>0</v>
      </c>
      <c r="AE176" s="53">
        <v>174</v>
      </c>
      <c r="AF176" s="142"/>
    </row>
    <row r="177" spans="1:32" ht="15">
      <c r="A177" s="47" t="s">
        <v>424</v>
      </c>
      <c r="B177" s="4" t="s">
        <v>425</v>
      </c>
      <c r="C177" s="40" t="s">
        <v>41</v>
      </c>
      <c r="D177" s="31" t="s">
        <v>168</v>
      </c>
      <c r="E177" s="4" t="s">
        <v>131</v>
      </c>
      <c r="F177" s="4">
        <v>3</v>
      </c>
      <c r="G177" s="4">
        <v>1</v>
      </c>
      <c r="H177" s="4" t="s">
        <v>132</v>
      </c>
      <c r="I177" s="24" t="str">
        <f t="shared" ref="I177:I184" si="11">A177</f>
        <v>S6.020.604</v>
      </c>
      <c r="J177" s="31"/>
      <c r="K177" s="4"/>
      <c r="L177" s="4"/>
      <c r="M177" s="16">
        <v>1</v>
      </c>
      <c r="N177" s="5">
        <v>3</v>
      </c>
      <c r="O177" s="5"/>
      <c r="P177" s="5">
        <v>0</v>
      </c>
      <c r="Q177" s="5">
        <v>3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1</v>
      </c>
      <c r="Y177" s="5">
        <v>0</v>
      </c>
      <c r="Z177" s="5">
        <v>0</v>
      </c>
      <c r="AA177" s="5">
        <v>2</v>
      </c>
      <c r="AB177" s="5">
        <v>0</v>
      </c>
      <c r="AC177" s="5">
        <v>0</v>
      </c>
      <c r="AD177" s="56">
        <v>0</v>
      </c>
      <c r="AE177" s="20">
        <v>175</v>
      </c>
      <c r="AF177" s="142"/>
    </row>
    <row r="178" spans="1:32" ht="15">
      <c r="A178" s="47" t="s">
        <v>426</v>
      </c>
      <c r="B178" s="4" t="s">
        <v>427</v>
      </c>
      <c r="C178" s="41" t="s">
        <v>41</v>
      </c>
      <c r="D178" s="35" t="s">
        <v>168</v>
      </c>
      <c r="E178" s="4" t="s">
        <v>131</v>
      </c>
      <c r="F178" s="4">
        <v>3</v>
      </c>
      <c r="G178" s="4">
        <v>1</v>
      </c>
      <c r="H178" s="4" t="s">
        <v>132</v>
      </c>
      <c r="I178" s="24" t="str">
        <f t="shared" si="11"/>
        <v>S6.020.605</v>
      </c>
      <c r="J178" s="35"/>
      <c r="K178" s="4"/>
      <c r="L178" s="4"/>
      <c r="M178" s="16">
        <v>1</v>
      </c>
      <c r="N178" s="5">
        <v>1</v>
      </c>
      <c r="O178" s="5"/>
      <c r="P178" s="5">
        <v>0</v>
      </c>
      <c r="Q178" s="53">
        <v>1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1</v>
      </c>
      <c r="Y178" s="5">
        <v>0</v>
      </c>
      <c r="Z178" s="5">
        <v>0</v>
      </c>
      <c r="AA178" s="5">
        <v>1</v>
      </c>
      <c r="AB178" s="5">
        <v>0</v>
      </c>
      <c r="AC178" s="5">
        <v>0</v>
      </c>
      <c r="AD178" s="56">
        <v>0</v>
      </c>
      <c r="AE178" s="20">
        <v>176</v>
      </c>
      <c r="AF178" s="142"/>
    </row>
    <row r="179" spans="1:32" ht="15">
      <c r="A179" s="47" t="s">
        <v>428</v>
      </c>
      <c r="B179" s="4" t="s">
        <v>429</v>
      </c>
      <c r="C179" s="41" t="s">
        <v>41</v>
      </c>
      <c r="D179" s="31" t="s">
        <v>168</v>
      </c>
      <c r="E179" s="4" t="s">
        <v>131</v>
      </c>
      <c r="F179" s="4">
        <v>3</v>
      </c>
      <c r="G179" s="4">
        <v>1</v>
      </c>
      <c r="H179" s="4" t="s">
        <v>132</v>
      </c>
      <c r="I179" s="24" t="str">
        <f t="shared" si="11"/>
        <v>S6.020.606</v>
      </c>
      <c r="J179" s="31"/>
      <c r="K179" s="4"/>
      <c r="L179" s="4"/>
      <c r="M179" s="16">
        <v>1</v>
      </c>
      <c r="N179" s="5">
        <v>1</v>
      </c>
      <c r="O179" s="5"/>
      <c r="P179" s="5">
        <v>0</v>
      </c>
      <c r="Q179" s="53">
        <v>1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2</v>
      </c>
      <c r="Y179" s="5">
        <v>0</v>
      </c>
      <c r="Z179" s="5">
        <v>0</v>
      </c>
      <c r="AA179" s="5">
        <v>1</v>
      </c>
      <c r="AB179" s="5">
        <v>0</v>
      </c>
      <c r="AC179" s="5">
        <v>0</v>
      </c>
      <c r="AD179" s="56">
        <v>0</v>
      </c>
      <c r="AE179" s="53">
        <v>177</v>
      </c>
      <c r="AF179" s="142"/>
    </row>
    <row r="180" spans="1:32" ht="15">
      <c r="A180" s="47" t="s">
        <v>430</v>
      </c>
      <c r="B180" s="4" t="s">
        <v>431</v>
      </c>
      <c r="C180" s="41" t="s">
        <v>41</v>
      </c>
      <c r="D180" s="35" t="s">
        <v>168</v>
      </c>
      <c r="E180" s="4" t="s">
        <v>131</v>
      </c>
      <c r="F180" s="4">
        <v>3</v>
      </c>
      <c r="G180" s="4">
        <v>1</v>
      </c>
      <c r="H180" s="4" t="s">
        <v>132</v>
      </c>
      <c r="I180" s="24" t="str">
        <f t="shared" si="11"/>
        <v>S6.020.610</v>
      </c>
      <c r="J180" s="35"/>
      <c r="K180" s="4"/>
      <c r="L180" s="4"/>
      <c r="M180" s="16">
        <v>1</v>
      </c>
      <c r="N180" s="5">
        <v>1</v>
      </c>
      <c r="O180" s="5"/>
      <c r="P180" s="5">
        <v>0</v>
      </c>
      <c r="Q180" s="53">
        <v>1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1</v>
      </c>
      <c r="Y180" s="5">
        <v>0</v>
      </c>
      <c r="Z180" s="5">
        <v>0</v>
      </c>
      <c r="AA180" s="5">
        <v>1</v>
      </c>
      <c r="AB180" s="5">
        <v>0</v>
      </c>
      <c r="AC180" s="5">
        <v>0</v>
      </c>
      <c r="AD180" s="56">
        <v>0</v>
      </c>
      <c r="AE180" s="53">
        <v>178</v>
      </c>
      <c r="AF180" s="142"/>
    </row>
    <row r="181" spans="1:32" ht="15" customHeight="1">
      <c r="A181" s="47" t="s">
        <v>432</v>
      </c>
      <c r="B181" s="4" t="s">
        <v>433</v>
      </c>
      <c r="C181" s="40" t="s">
        <v>41</v>
      </c>
      <c r="D181" s="31" t="s">
        <v>168</v>
      </c>
      <c r="E181" s="4" t="s">
        <v>131</v>
      </c>
      <c r="F181" s="4">
        <v>3</v>
      </c>
      <c r="G181" s="4">
        <v>1</v>
      </c>
      <c r="H181" s="4" t="s">
        <v>132</v>
      </c>
      <c r="I181" s="24" t="str">
        <f t="shared" si="11"/>
        <v>S6.020.611</v>
      </c>
      <c r="J181" s="31"/>
      <c r="K181" s="4"/>
      <c r="L181" s="4"/>
      <c r="M181" s="16">
        <v>1</v>
      </c>
      <c r="N181" s="5">
        <v>2</v>
      </c>
      <c r="O181" s="5"/>
      <c r="P181" s="5">
        <v>0</v>
      </c>
      <c r="Q181" s="5">
        <v>2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1</v>
      </c>
      <c r="Y181" s="5">
        <v>0</v>
      </c>
      <c r="Z181" s="5">
        <v>0</v>
      </c>
      <c r="AA181" s="5">
        <v>1</v>
      </c>
      <c r="AB181" s="5">
        <v>0</v>
      </c>
      <c r="AC181" s="5">
        <v>0</v>
      </c>
      <c r="AD181" s="56">
        <v>0</v>
      </c>
      <c r="AE181" s="53">
        <v>179</v>
      </c>
      <c r="AF181" s="142"/>
    </row>
    <row r="182" spans="1:32" ht="15" customHeight="1">
      <c r="A182" s="47" t="s">
        <v>434</v>
      </c>
      <c r="B182" s="4" t="s">
        <v>435</v>
      </c>
      <c r="C182" s="40" t="s">
        <v>41</v>
      </c>
      <c r="D182" s="35" t="s">
        <v>168</v>
      </c>
      <c r="E182" s="4" t="s">
        <v>131</v>
      </c>
      <c r="F182" s="4">
        <v>2</v>
      </c>
      <c r="G182" s="4">
        <v>1</v>
      </c>
      <c r="H182" s="4" t="s">
        <v>132</v>
      </c>
      <c r="I182" s="24" t="str">
        <f t="shared" si="11"/>
        <v>S6.020.615</v>
      </c>
      <c r="J182" s="35"/>
      <c r="K182" s="4"/>
      <c r="L182" s="4"/>
      <c r="M182" s="16">
        <v>1</v>
      </c>
      <c r="N182" s="5">
        <v>1</v>
      </c>
      <c r="O182" s="5"/>
      <c r="P182" s="5">
        <v>0</v>
      </c>
      <c r="Q182" s="53">
        <v>1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1</v>
      </c>
      <c r="Y182" s="5">
        <v>0</v>
      </c>
      <c r="Z182" s="5">
        <v>0</v>
      </c>
      <c r="AA182" s="5">
        <v>1</v>
      </c>
      <c r="AB182" s="5">
        <v>0</v>
      </c>
      <c r="AC182" s="5">
        <v>0</v>
      </c>
      <c r="AD182" s="56">
        <v>0</v>
      </c>
      <c r="AE182" s="20">
        <v>180</v>
      </c>
      <c r="AF182" s="142"/>
    </row>
    <row r="183" spans="1:32" ht="15">
      <c r="A183" s="47" t="s">
        <v>436</v>
      </c>
      <c r="B183" s="4" t="s">
        <v>437</v>
      </c>
      <c r="C183" s="41" t="s">
        <v>41</v>
      </c>
      <c r="D183" s="31" t="s">
        <v>168</v>
      </c>
      <c r="E183" s="4" t="s">
        <v>131</v>
      </c>
      <c r="F183" s="4">
        <v>2</v>
      </c>
      <c r="G183" s="10">
        <v>1</v>
      </c>
      <c r="H183" s="4" t="s">
        <v>132</v>
      </c>
      <c r="I183" s="24" t="str">
        <f t="shared" si="11"/>
        <v>S6.020.619</v>
      </c>
      <c r="J183" s="31"/>
      <c r="K183" s="4"/>
      <c r="L183" s="4"/>
      <c r="M183" s="16">
        <v>1</v>
      </c>
      <c r="N183" s="5">
        <v>1</v>
      </c>
      <c r="O183" s="5"/>
      <c r="P183" s="5">
        <v>0</v>
      </c>
      <c r="Q183" s="53">
        <v>1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1</v>
      </c>
      <c r="Y183" s="5">
        <v>0</v>
      </c>
      <c r="Z183" s="5">
        <v>0</v>
      </c>
      <c r="AA183" s="5">
        <v>1</v>
      </c>
      <c r="AB183" s="5">
        <v>0</v>
      </c>
      <c r="AC183" s="5">
        <v>0</v>
      </c>
      <c r="AD183" s="56">
        <v>0</v>
      </c>
      <c r="AE183" s="20">
        <v>181</v>
      </c>
      <c r="AF183" s="142"/>
    </row>
    <row r="184" spans="1:32" ht="15">
      <c r="A184" s="47" t="s">
        <v>438</v>
      </c>
      <c r="B184" s="4" t="s">
        <v>439</v>
      </c>
      <c r="C184" s="41" t="s">
        <v>41</v>
      </c>
      <c r="D184" s="35" t="s">
        <v>168</v>
      </c>
      <c r="E184" s="4" t="s">
        <v>131</v>
      </c>
      <c r="F184" s="4">
        <v>1</v>
      </c>
      <c r="G184" s="110">
        <v>1</v>
      </c>
      <c r="H184" s="4" t="s">
        <v>132</v>
      </c>
      <c r="I184" s="24" t="str">
        <f t="shared" si="11"/>
        <v>S6.020.634</v>
      </c>
      <c r="J184" s="35"/>
      <c r="K184" s="4"/>
      <c r="L184" s="4"/>
      <c r="M184" s="16">
        <v>1</v>
      </c>
      <c r="N184" s="5">
        <v>1</v>
      </c>
      <c r="O184" s="5"/>
      <c r="P184" s="5">
        <v>0</v>
      </c>
      <c r="Q184" s="53">
        <v>1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1</v>
      </c>
      <c r="Y184" s="5">
        <v>0</v>
      </c>
      <c r="Z184" s="5">
        <v>0</v>
      </c>
      <c r="AA184" s="5">
        <v>1</v>
      </c>
      <c r="AB184" s="5">
        <v>0</v>
      </c>
      <c r="AC184" s="5">
        <v>0</v>
      </c>
      <c r="AD184" s="56">
        <v>0</v>
      </c>
      <c r="AE184" s="53">
        <v>182</v>
      </c>
      <c r="AF184" s="142"/>
    </row>
    <row r="185" spans="1:32" ht="15" customHeight="1">
      <c r="A185" s="47" t="s">
        <v>440</v>
      </c>
      <c r="B185" s="4" t="s">
        <v>441</v>
      </c>
      <c r="C185" s="41" t="s">
        <v>41</v>
      </c>
      <c r="D185" s="31" t="s">
        <v>168</v>
      </c>
      <c r="E185" s="4" t="s">
        <v>131</v>
      </c>
      <c r="F185" s="4">
        <v>1</v>
      </c>
      <c r="G185" s="4">
        <v>1</v>
      </c>
      <c r="H185" s="4"/>
      <c r="I185" s="29" t="s">
        <v>442</v>
      </c>
      <c r="J185" s="31"/>
      <c r="K185" s="4"/>
      <c r="L185" s="4"/>
      <c r="M185" s="16">
        <v>1</v>
      </c>
      <c r="N185" s="5">
        <v>1</v>
      </c>
      <c r="O185" s="5"/>
      <c r="P185" s="5">
        <v>0</v>
      </c>
      <c r="Q185" s="53">
        <v>1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1</v>
      </c>
      <c r="Y185" s="5">
        <v>0</v>
      </c>
      <c r="Z185" s="5">
        <v>0</v>
      </c>
      <c r="AA185" s="5">
        <v>1</v>
      </c>
      <c r="AB185" s="5">
        <v>0</v>
      </c>
      <c r="AC185" s="5">
        <v>0</v>
      </c>
      <c r="AD185" s="56">
        <v>0</v>
      </c>
      <c r="AE185" s="53">
        <v>183</v>
      </c>
      <c r="AF185" s="142"/>
    </row>
    <row r="186" spans="1:32" ht="15" customHeight="1">
      <c r="A186" s="47" t="s">
        <v>443</v>
      </c>
      <c r="B186" s="4" t="s">
        <v>444</v>
      </c>
      <c r="C186" s="40" t="s">
        <v>41</v>
      </c>
      <c r="D186" s="35" t="s">
        <v>168</v>
      </c>
      <c r="E186" s="4" t="s">
        <v>131</v>
      </c>
      <c r="F186" s="4">
        <v>1</v>
      </c>
      <c r="G186" s="4">
        <v>1</v>
      </c>
      <c r="H186" s="4" t="s">
        <v>132</v>
      </c>
      <c r="I186" s="24" t="str">
        <f>A186</f>
        <v>S6.020.637</v>
      </c>
      <c r="J186" s="35"/>
      <c r="K186" s="4"/>
      <c r="L186" s="4"/>
      <c r="M186" s="16">
        <v>1</v>
      </c>
      <c r="N186" s="5">
        <v>3</v>
      </c>
      <c r="O186" s="5"/>
      <c r="P186" s="5">
        <v>0</v>
      </c>
      <c r="Q186" s="5">
        <v>3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3</v>
      </c>
      <c r="Y186" s="5">
        <v>0</v>
      </c>
      <c r="Z186" s="5">
        <v>0</v>
      </c>
      <c r="AA186" s="5">
        <v>3</v>
      </c>
      <c r="AB186" s="5">
        <v>0</v>
      </c>
      <c r="AC186" s="5">
        <v>0</v>
      </c>
      <c r="AD186" s="56">
        <v>0</v>
      </c>
      <c r="AE186" s="53">
        <v>184</v>
      </c>
      <c r="AF186" s="142"/>
    </row>
    <row r="187" spans="1:32" ht="15">
      <c r="A187" s="47" t="s">
        <v>445</v>
      </c>
      <c r="B187" s="4" t="s">
        <v>446</v>
      </c>
      <c r="C187" s="40" t="s">
        <v>41</v>
      </c>
      <c r="D187" s="31" t="s">
        <v>168</v>
      </c>
      <c r="E187" s="4" t="s">
        <v>131</v>
      </c>
      <c r="F187" s="4">
        <v>1</v>
      </c>
      <c r="G187" s="4">
        <v>1</v>
      </c>
      <c r="H187" s="4"/>
      <c r="I187" s="29" t="s">
        <v>442</v>
      </c>
      <c r="J187" s="31"/>
      <c r="K187" s="4"/>
      <c r="L187" s="4"/>
      <c r="M187" s="16">
        <v>1</v>
      </c>
      <c r="N187" s="5">
        <v>1</v>
      </c>
      <c r="O187" s="5"/>
      <c r="P187" s="5">
        <v>0</v>
      </c>
      <c r="Q187" s="53">
        <v>1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1</v>
      </c>
      <c r="Y187" s="5">
        <v>0</v>
      </c>
      <c r="Z187" s="5">
        <v>0</v>
      </c>
      <c r="AA187" s="5">
        <v>1</v>
      </c>
      <c r="AB187" s="5">
        <v>0</v>
      </c>
      <c r="AC187" s="5">
        <v>0</v>
      </c>
      <c r="AD187" s="56">
        <v>0</v>
      </c>
      <c r="AE187" s="20">
        <v>185</v>
      </c>
      <c r="AF187" s="142"/>
    </row>
    <row r="188" spans="1:32" ht="15">
      <c r="A188" s="47" t="s">
        <v>447</v>
      </c>
      <c r="B188" s="4" t="s">
        <v>448</v>
      </c>
      <c r="C188" s="41" t="s">
        <v>41</v>
      </c>
      <c r="D188" s="35" t="s">
        <v>168</v>
      </c>
      <c r="E188" s="4" t="s">
        <v>131</v>
      </c>
      <c r="F188" s="4">
        <v>1</v>
      </c>
      <c r="G188" s="4">
        <v>1</v>
      </c>
      <c r="H188" s="4"/>
      <c r="I188" s="29" t="s">
        <v>442</v>
      </c>
      <c r="J188" s="35"/>
      <c r="K188" s="4"/>
      <c r="L188" s="4"/>
      <c r="M188" s="16">
        <v>1</v>
      </c>
      <c r="N188" s="5">
        <v>1</v>
      </c>
      <c r="O188" s="5"/>
      <c r="P188" s="5">
        <v>0</v>
      </c>
      <c r="Q188" s="53">
        <v>1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1</v>
      </c>
      <c r="Y188" s="5">
        <v>0</v>
      </c>
      <c r="Z188" s="5">
        <v>0</v>
      </c>
      <c r="AA188" s="5">
        <v>1</v>
      </c>
      <c r="AB188" s="5">
        <v>0</v>
      </c>
      <c r="AC188" s="5">
        <v>0</v>
      </c>
      <c r="AD188" s="56">
        <v>0</v>
      </c>
      <c r="AE188" s="20">
        <v>186</v>
      </c>
      <c r="AF188" s="142"/>
    </row>
    <row r="189" spans="1:32" ht="15">
      <c r="A189" s="47" t="s">
        <v>449</v>
      </c>
      <c r="B189" s="4" t="s">
        <v>450</v>
      </c>
      <c r="C189" s="41" t="s">
        <v>41</v>
      </c>
      <c r="D189" s="31" t="s">
        <v>168</v>
      </c>
      <c r="E189" s="4" t="s">
        <v>131</v>
      </c>
      <c r="F189" s="4">
        <v>1</v>
      </c>
      <c r="G189" s="4">
        <v>1</v>
      </c>
      <c r="H189" s="4" t="s">
        <v>132</v>
      </c>
      <c r="I189" s="24" t="str">
        <f>A189</f>
        <v>S6.020.641</v>
      </c>
      <c r="J189" s="31"/>
      <c r="K189" s="4"/>
      <c r="L189" s="4"/>
      <c r="M189" s="16">
        <v>1</v>
      </c>
      <c r="N189" s="5">
        <v>1</v>
      </c>
      <c r="O189" s="5"/>
      <c r="P189" s="5">
        <v>0</v>
      </c>
      <c r="Q189" s="53">
        <v>1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1</v>
      </c>
      <c r="Y189" s="5">
        <v>0</v>
      </c>
      <c r="Z189" s="5">
        <v>0</v>
      </c>
      <c r="AA189" s="5">
        <v>1</v>
      </c>
      <c r="AB189" s="5">
        <v>0</v>
      </c>
      <c r="AC189" s="5">
        <v>0</v>
      </c>
      <c r="AD189" s="56">
        <v>0</v>
      </c>
      <c r="AE189" s="53">
        <v>187</v>
      </c>
      <c r="AF189" s="142"/>
    </row>
    <row r="190" spans="1:32" ht="15">
      <c r="A190" s="47" t="s">
        <v>451</v>
      </c>
      <c r="B190" s="4" t="s">
        <v>452</v>
      </c>
      <c r="C190" s="41" t="s">
        <v>41</v>
      </c>
      <c r="D190" s="35" t="s">
        <v>168</v>
      </c>
      <c r="E190" s="4" t="s">
        <v>131</v>
      </c>
      <c r="F190" s="4">
        <v>4</v>
      </c>
      <c r="G190" s="4">
        <v>1</v>
      </c>
      <c r="H190" s="4" t="s">
        <v>132</v>
      </c>
      <c r="I190" s="24" t="str">
        <f>A190</f>
        <v>S6.030.605</v>
      </c>
      <c r="J190" s="35"/>
      <c r="K190" s="4"/>
      <c r="L190" s="4"/>
      <c r="M190" s="16">
        <v>1</v>
      </c>
      <c r="N190" s="5">
        <v>1</v>
      </c>
      <c r="O190" s="5"/>
      <c r="P190" s="5">
        <v>0</v>
      </c>
      <c r="Q190" s="53">
        <v>1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1</v>
      </c>
      <c r="Y190" s="5">
        <v>0</v>
      </c>
      <c r="Z190" s="5">
        <v>0</v>
      </c>
      <c r="AA190" s="5">
        <v>3</v>
      </c>
      <c r="AB190" s="5">
        <v>0</v>
      </c>
      <c r="AC190" s="5">
        <v>0</v>
      </c>
      <c r="AD190" s="56">
        <v>0</v>
      </c>
      <c r="AE190" s="53">
        <v>188</v>
      </c>
      <c r="AF190" s="142"/>
    </row>
    <row r="191" spans="1:32" ht="15">
      <c r="A191" s="47" t="s">
        <v>453</v>
      </c>
      <c r="B191" s="4" t="s">
        <v>454</v>
      </c>
      <c r="C191" s="40" t="s">
        <v>41</v>
      </c>
      <c r="D191" s="31" t="s">
        <v>168</v>
      </c>
      <c r="E191" s="4" t="s">
        <v>131</v>
      </c>
      <c r="F191" s="4">
        <v>4</v>
      </c>
      <c r="G191" s="4">
        <v>1</v>
      </c>
      <c r="H191" s="4" t="s">
        <v>132</v>
      </c>
      <c r="I191" s="24" t="str">
        <f>A191</f>
        <v>S6.030.610</v>
      </c>
      <c r="J191" s="31"/>
      <c r="K191" s="4"/>
      <c r="L191" s="4"/>
      <c r="M191" s="16">
        <v>1</v>
      </c>
      <c r="N191" s="5">
        <v>1</v>
      </c>
      <c r="O191" s="5"/>
      <c r="P191" s="5">
        <v>0</v>
      </c>
      <c r="Q191" s="53">
        <v>1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1</v>
      </c>
      <c r="Y191" s="5">
        <v>0</v>
      </c>
      <c r="Z191" s="5">
        <v>0</v>
      </c>
      <c r="AA191" s="5">
        <v>1</v>
      </c>
      <c r="AB191" s="5">
        <v>0</v>
      </c>
      <c r="AC191" s="5">
        <v>0</v>
      </c>
      <c r="AD191" s="56">
        <v>0</v>
      </c>
      <c r="AE191" s="53">
        <v>189</v>
      </c>
      <c r="AF191" s="142"/>
    </row>
    <row r="192" spans="1:32" ht="15">
      <c r="A192" s="47" t="s">
        <v>455</v>
      </c>
      <c r="B192" s="4" t="s">
        <v>456</v>
      </c>
      <c r="C192" s="40" t="s">
        <v>41</v>
      </c>
      <c r="D192" s="35" t="s">
        <v>168</v>
      </c>
      <c r="E192" s="4" t="s">
        <v>143</v>
      </c>
      <c r="F192" s="4">
        <v>2</v>
      </c>
      <c r="G192" s="4">
        <v>1</v>
      </c>
      <c r="H192" s="4" t="s">
        <v>144</v>
      </c>
      <c r="I192" s="29" t="s">
        <v>457</v>
      </c>
      <c r="J192" s="35"/>
      <c r="K192" s="4"/>
      <c r="L192" s="4"/>
      <c r="M192" s="16">
        <v>1</v>
      </c>
      <c r="N192" s="5">
        <v>1</v>
      </c>
      <c r="O192" s="5"/>
      <c r="P192" s="5">
        <v>0</v>
      </c>
      <c r="Q192" s="53">
        <v>1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1</v>
      </c>
      <c r="Y192" s="5">
        <v>0</v>
      </c>
      <c r="Z192" s="5">
        <v>0</v>
      </c>
      <c r="AA192" s="5">
        <v>1</v>
      </c>
      <c r="AB192" s="5">
        <v>0</v>
      </c>
      <c r="AC192" s="5">
        <v>0</v>
      </c>
      <c r="AD192" s="56">
        <v>0</v>
      </c>
      <c r="AE192" s="20">
        <v>190</v>
      </c>
      <c r="AF192" s="142"/>
    </row>
    <row r="193" spans="1:32" ht="15">
      <c r="A193" s="47" t="s">
        <v>458</v>
      </c>
      <c r="B193" s="4" t="s">
        <v>459</v>
      </c>
      <c r="C193" s="41" t="s">
        <v>41</v>
      </c>
      <c r="D193" s="31" t="s">
        <v>168</v>
      </c>
      <c r="E193" s="4" t="s">
        <v>143</v>
      </c>
      <c r="F193" s="4">
        <v>3</v>
      </c>
      <c r="G193" s="4">
        <v>1</v>
      </c>
      <c r="H193" s="4" t="s">
        <v>144</v>
      </c>
      <c r="I193" s="24" t="str">
        <f t="shared" ref="I193:I200" si="12">A193</f>
        <v>S7.020.704</v>
      </c>
      <c r="J193" s="31"/>
      <c r="K193" s="4"/>
      <c r="L193" s="4"/>
      <c r="M193" s="16">
        <v>1</v>
      </c>
      <c r="N193" s="5">
        <v>3</v>
      </c>
      <c r="O193" s="5"/>
      <c r="P193" s="5">
        <v>0</v>
      </c>
      <c r="Q193" s="5">
        <v>3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2</v>
      </c>
      <c r="Y193" s="5">
        <v>0</v>
      </c>
      <c r="Z193" s="5">
        <v>0</v>
      </c>
      <c r="AA193" s="5">
        <v>2</v>
      </c>
      <c r="AB193" s="5">
        <v>0</v>
      </c>
      <c r="AC193" s="5">
        <v>0</v>
      </c>
      <c r="AD193" s="56">
        <v>0</v>
      </c>
      <c r="AE193" s="20">
        <v>191</v>
      </c>
      <c r="AF193" s="142"/>
    </row>
    <row r="194" spans="1:32" ht="15" customHeight="1">
      <c r="A194" s="47" t="s">
        <v>460</v>
      </c>
      <c r="B194" s="4" t="s">
        <v>461</v>
      </c>
      <c r="C194" s="41" t="s">
        <v>41</v>
      </c>
      <c r="D194" s="35" t="s">
        <v>168</v>
      </c>
      <c r="E194" s="4" t="s">
        <v>143</v>
      </c>
      <c r="F194" s="4">
        <v>3</v>
      </c>
      <c r="G194" s="4">
        <v>1</v>
      </c>
      <c r="H194" s="4" t="s">
        <v>144</v>
      </c>
      <c r="I194" s="24" t="str">
        <f t="shared" si="12"/>
        <v>S7.020.705</v>
      </c>
      <c r="J194" s="35"/>
      <c r="K194" s="4"/>
      <c r="L194" s="4"/>
      <c r="M194" s="16">
        <v>1</v>
      </c>
      <c r="N194" s="5">
        <v>1</v>
      </c>
      <c r="O194" s="5"/>
      <c r="P194" s="5">
        <v>0</v>
      </c>
      <c r="Q194" s="53">
        <v>1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1</v>
      </c>
      <c r="Y194" s="5">
        <v>0</v>
      </c>
      <c r="Z194" s="5">
        <v>0</v>
      </c>
      <c r="AA194" s="5">
        <v>1</v>
      </c>
      <c r="AB194" s="5">
        <v>0</v>
      </c>
      <c r="AC194" s="5">
        <v>0</v>
      </c>
      <c r="AD194" s="56">
        <v>0</v>
      </c>
      <c r="AE194" s="53">
        <v>192</v>
      </c>
      <c r="AF194" s="142"/>
    </row>
    <row r="195" spans="1:32" ht="15" customHeight="1">
      <c r="A195" s="47" t="s">
        <v>462</v>
      </c>
      <c r="B195" s="4" t="s">
        <v>463</v>
      </c>
      <c r="C195" s="41" t="s">
        <v>41</v>
      </c>
      <c r="D195" s="31" t="s">
        <v>168</v>
      </c>
      <c r="E195" s="4" t="s">
        <v>143</v>
      </c>
      <c r="F195" s="4">
        <v>3</v>
      </c>
      <c r="G195" s="4">
        <v>1</v>
      </c>
      <c r="H195" s="4" t="s">
        <v>144</v>
      </c>
      <c r="I195" s="24" t="str">
        <f t="shared" si="12"/>
        <v>S7.020.706</v>
      </c>
      <c r="J195" s="31"/>
      <c r="K195" s="4"/>
      <c r="L195" s="4"/>
      <c r="M195" s="16">
        <v>1</v>
      </c>
      <c r="N195" s="5">
        <v>1</v>
      </c>
      <c r="O195" s="5"/>
      <c r="P195" s="5">
        <v>0</v>
      </c>
      <c r="Q195" s="53">
        <v>1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1</v>
      </c>
      <c r="Y195" s="5">
        <v>0</v>
      </c>
      <c r="Z195" s="5">
        <v>0</v>
      </c>
      <c r="AA195" s="5">
        <v>1</v>
      </c>
      <c r="AB195" s="5">
        <v>0</v>
      </c>
      <c r="AC195" s="5">
        <v>0</v>
      </c>
      <c r="AD195" s="56">
        <v>0</v>
      </c>
      <c r="AE195" s="53">
        <v>193</v>
      </c>
      <c r="AF195" s="142"/>
    </row>
    <row r="196" spans="1:32" ht="15" customHeight="1">
      <c r="A196" s="47" t="s">
        <v>464</v>
      </c>
      <c r="B196" s="4" t="s">
        <v>465</v>
      </c>
      <c r="C196" s="40" t="s">
        <v>41</v>
      </c>
      <c r="D196" s="35" t="s">
        <v>168</v>
      </c>
      <c r="E196" s="4" t="s">
        <v>143</v>
      </c>
      <c r="F196" s="4">
        <v>3</v>
      </c>
      <c r="G196" s="4">
        <v>1</v>
      </c>
      <c r="H196" s="4" t="s">
        <v>144</v>
      </c>
      <c r="I196" s="24" t="str">
        <f t="shared" si="12"/>
        <v>S7.020.710</v>
      </c>
      <c r="J196" s="35"/>
      <c r="K196" s="4"/>
      <c r="L196" s="4"/>
      <c r="M196" s="16">
        <v>1</v>
      </c>
      <c r="N196" s="5">
        <v>1</v>
      </c>
      <c r="O196" s="5"/>
      <c r="P196" s="5">
        <v>0</v>
      </c>
      <c r="Q196" s="53">
        <v>1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1</v>
      </c>
      <c r="Y196" s="5">
        <v>0</v>
      </c>
      <c r="Z196" s="5">
        <v>0</v>
      </c>
      <c r="AA196" s="5">
        <v>1</v>
      </c>
      <c r="AB196" s="5">
        <v>0</v>
      </c>
      <c r="AC196" s="5">
        <v>0</v>
      </c>
      <c r="AD196" s="56">
        <v>0</v>
      </c>
      <c r="AE196" s="53">
        <v>194</v>
      </c>
      <c r="AF196" s="142"/>
    </row>
    <row r="197" spans="1:32" ht="15" customHeight="1">
      <c r="A197" s="47" t="s">
        <v>466</v>
      </c>
      <c r="B197" s="4" t="s">
        <v>467</v>
      </c>
      <c r="C197" s="40" t="s">
        <v>41</v>
      </c>
      <c r="D197" s="31" t="s">
        <v>168</v>
      </c>
      <c r="E197" s="4" t="s">
        <v>143</v>
      </c>
      <c r="F197" s="4">
        <v>3</v>
      </c>
      <c r="G197" s="10">
        <v>1</v>
      </c>
      <c r="H197" s="4" t="s">
        <v>144</v>
      </c>
      <c r="I197" s="24" t="str">
        <f t="shared" si="12"/>
        <v>S7.020.711</v>
      </c>
      <c r="J197" s="31"/>
      <c r="K197" s="4"/>
      <c r="L197" s="4"/>
      <c r="M197" s="16">
        <v>1</v>
      </c>
      <c r="N197" s="5">
        <v>2</v>
      </c>
      <c r="O197" s="5"/>
      <c r="P197" s="5">
        <v>0</v>
      </c>
      <c r="Q197" s="5">
        <v>2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1</v>
      </c>
      <c r="Y197" s="5">
        <v>0</v>
      </c>
      <c r="Z197" s="5">
        <v>0</v>
      </c>
      <c r="AA197" s="5">
        <v>1</v>
      </c>
      <c r="AB197" s="5">
        <v>0</v>
      </c>
      <c r="AC197" s="5">
        <v>0</v>
      </c>
      <c r="AD197" s="56">
        <v>0</v>
      </c>
      <c r="AE197" s="20">
        <v>195</v>
      </c>
      <c r="AF197" s="142"/>
    </row>
    <row r="198" spans="1:32" ht="15" customHeight="1">
      <c r="A198" s="47" t="s">
        <v>468</v>
      </c>
      <c r="B198" s="4" t="s">
        <v>469</v>
      </c>
      <c r="C198" s="41" t="s">
        <v>41</v>
      </c>
      <c r="D198" s="35" t="s">
        <v>168</v>
      </c>
      <c r="E198" s="4" t="s">
        <v>143</v>
      </c>
      <c r="F198" s="4">
        <v>2</v>
      </c>
      <c r="G198" s="110">
        <v>1</v>
      </c>
      <c r="H198" s="4" t="s">
        <v>144</v>
      </c>
      <c r="I198" s="24" t="str">
        <f t="shared" si="12"/>
        <v>S7.020.715</v>
      </c>
      <c r="J198" s="35"/>
      <c r="K198" s="4"/>
      <c r="L198" s="4"/>
      <c r="M198" s="16">
        <v>1</v>
      </c>
      <c r="N198" s="5">
        <v>1</v>
      </c>
      <c r="O198" s="5"/>
      <c r="P198" s="5">
        <v>0</v>
      </c>
      <c r="Q198" s="53">
        <v>1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1</v>
      </c>
      <c r="Y198" s="5">
        <v>0</v>
      </c>
      <c r="Z198" s="5">
        <v>0</v>
      </c>
      <c r="AA198" s="5">
        <v>1</v>
      </c>
      <c r="AB198" s="5">
        <v>0</v>
      </c>
      <c r="AC198" s="5">
        <v>0</v>
      </c>
      <c r="AD198" s="56">
        <v>0</v>
      </c>
      <c r="AE198" s="20">
        <v>196</v>
      </c>
      <c r="AF198" s="142"/>
    </row>
    <row r="199" spans="1:32" ht="15" customHeight="1">
      <c r="A199" s="47" t="s">
        <v>470</v>
      </c>
      <c r="B199" s="4" t="s">
        <v>471</v>
      </c>
      <c r="C199" s="41" t="s">
        <v>41</v>
      </c>
      <c r="D199" s="31" t="s">
        <v>168</v>
      </c>
      <c r="E199" s="4" t="s">
        <v>143</v>
      </c>
      <c r="F199" s="4">
        <v>2</v>
      </c>
      <c r="G199" s="4">
        <v>1</v>
      </c>
      <c r="H199" s="4" t="s">
        <v>144</v>
      </c>
      <c r="I199" s="24" t="str">
        <f t="shared" si="12"/>
        <v>S7.020.719</v>
      </c>
      <c r="J199" s="31"/>
      <c r="K199" s="4"/>
      <c r="L199" s="4"/>
      <c r="M199" s="16">
        <v>1</v>
      </c>
      <c r="N199" s="5">
        <v>1</v>
      </c>
      <c r="O199" s="5"/>
      <c r="P199" s="5">
        <v>0</v>
      </c>
      <c r="Q199" s="53">
        <v>1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1</v>
      </c>
      <c r="Y199" s="5">
        <v>0</v>
      </c>
      <c r="Z199" s="5">
        <v>0</v>
      </c>
      <c r="AA199" s="5">
        <v>1</v>
      </c>
      <c r="AB199" s="5">
        <v>0</v>
      </c>
      <c r="AC199" s="5">
        <v>0</v>
      </c>
      <c r="AD199" s="56">
        <v>0</v>
      </c>
      <c r="AE199" s="53">
        <v>197</v>
      </c>
      <c r="AF199" s="142"/>
    </row>
    <row r="200" spans="1:32" ht="15" customHeight="1">
      <c r="A200" s="47" t="s">
        <v>472</v>
      </c>
      <c r="B200" s="4" t="s">
        <v>473</v>
      </c>
      <c r="C200" s="41" t="s">
        <v>41</v>
      </c>
      <c r="D200" s="35" t="s">
        <v>168</v>
      </c>
      <c r="E200" s="4" t="s">
        <v>143</v>
      </c>
      <c r="F200" s="4">
        <v>1</v>
      </c>
      <c r="G200" s="4">
        <v>1</v>
      </c>
      <c r="H200" s="4" t="s">
        <v>144</v>
      </c>
      <c r="I200" s="24" t="str">
        <f t="shared" si="12"/>
        <v>S7.020.734</v>
      </c>
      <c r="J200" s="35"/>
      <c r="K200" s="4"/>
      <c r="L200" s="4"/>
      <c r="M200" s="16">
        <v>1</v>
      </c>
      <c r="N200" s="5">
        <v>1</v>
      </c>
      <c r="O200" s="5"/>
      <c r="P200" s="5">
        <v>0</v>
      </c>
      <c r="Q200" s="53">
        <v>1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1</v>
      </c>
      <c r="Y200" s="5">
        <v>0</v>
      </c>
      <c r="Z200" s="5">
        <v>0</v>
      </c>
      <c r="AA200" s="5">
        <v>1</v>
      </c>
      <c r="AB200" s="5">
        <v>0</v>
      </c>
      <c r="AC200" s="5">
        <v>0</v>
      </c>
      <c r="AD200" s="56">
        <v>0</v>
      </c>
      <c r="AE200" s="53">
        <v>198</v>
      </c>
      <c r="AF200" s="142"/>
    </row>
    <row r="201" spans="1:32" ht="15" customHeight="1">
      <c r="A201" s="47" t="s">
        <v>474</v>
      </c>
      <c r="B201" s="4" t="s">
        <v>475</v>
      </c>
      <c r="C201" s="40" t="s">
        <v>41</v>
      </c>
      <c r="D201" s="31" t="s">
        <v>168</v>
      </c>
      <c r="E201" s="4" t="s">
        <v>143</v>
      </c>
      <c r="F201" s="4">
        <v>1</v>
      </c>
      <c r="G201" s="4">
        <v>1</v>
      </c>
      <c r="H201" s="4"/>
      <c r="I201" s="29" t="s">
        <v>476</v>
      </c>
      <c r="J201" s="31"/>
      <c r="K201" s="4"/>
      <c r="L201" s="4"/>
      <c r="M201" s="16">
        <v>1</v>
      </c>
      <c r="N201" s="5">
        <v>1</v>
      </c>
      <c r="O201" s="5"/>
      <c r="P201" s="5">
        <v>0</v>
      </c>
      <c r="Q201" s="53">
        <v>1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1</v>
      </c>
      <c r="Y201" s="5">
        <v>0</v>
      </c>
      <c r="Z201" s="5">
        <v>0</v>
      </c>
      <c r="AA201" s="5">
        <v>1</v>
      </c>
      <c r="AB201" s="5">
        <v>0</v>
      </c>
      <c r="AC201" s="5">
        <v>0</v>
      </c>
      <c r="AD201" s="56">
        <v>0</v>
      </c>
      <c r="AE201" s="53">
        <v>199</v>
      </c>
      <c r="AF201" s="142"/>
    </row>
    <row r="202" spans="1:32" ht="15" customHeight="1">
      <c r="A202" s="47" t="s">
        <v>477</v>
      </c>
      <c r="B202" s="4" t="s">
        <v>478</v>
      </c>
      <c r="C202" s="40" t="s">
        <v>41</v>
      </c>
      <c r="D202" s="35" t="s">
        <v>168</v>
      </c>
      <c r="E202" s="4" t="s">
        <v>143</v>
      </c>
      <c r="F202" s="4">
        <v>1</v>
      </c>
      <c r="G202" s="4">
        <v>1</v>
      </c>
      <c r="H202" s="4" t="s">
        <v>144</v>
      </c>
      <c r="I202" s="24" t="str">
        <f>A202</f>
        <v>S7.020.737</v>
      </c>
      <c r="J202" s="35"/>
      <c r="K202" s="4"/>
      <c r="L202" s="4"/>
      <c r="M202" s="16">
        <v>1</v>
      </c>
      <c r="N202" s="5">
        <v>3</v>
      </c>
      <c r="O202" s="5"/>
      <c r="P202" s="5">
        <v>0</v>
      </c>
      <c r="Q202" s="5">
        <v>3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3</v>
      </c>
      <c r="Y202" s="5">
        <v>0</v>
      </c>
      <c r="Z202" s="5">
        <v>0</v>
      </c>
      <c r="AA202" s="5">
        <v>3</v>
      </c>
      <c r="AB202" s="5">
        <v>0</v>
      </c>
      <c r="AC202" s="5">
        <v>0</v>
      </c>
      <c r="AD202" s="56">
        <v>0</v>
      </c>
      <c r="AE202" s="20">
        <v>200</v>
      </c>
      <c r="AF202" s="142"/>
    </row>
    <row r="203" spans="1:32" ht="15" customHeight="1">
      <c r="A203" s="47" t="s">
        <v>479</v>
      </c>
      <c r="B203" s="4" t="s">
        <v>480</v>
      </c>
      <c r="C203" s="41" t="s">
        <v>41</v>
      </c>
      <c r="D203" s="31" t="s">
        <v>168</v>
      </c>
      <c r="E203" s="4" t="s">
        <v>143</v>
      </c>
      <c r="F203" s="4">
        <v>1</v>
      </c>
      <c r="G203" s="4">
        <v>1</v>
      </c>
      <c r="H203" s="4"/>
      <c r="I203" s="29" t="s">
        <v>476</v>
      </c>
      <c r="J203" s="31"/>
      <c r="K203" s="4"/>
      <c r="L203" s="4"/>
      <c r="M203" s="16">
        <v>1</v>
      </c>
      <c r="N203" s="5">
        <v>1</v>
      </c>
      <c r="O203" s="5"/>
      <c r="P203" s="5">
        <v>0</v>
      </c>
      <c r="Q203" s="53">
        <v>1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1</v>
      </c>
      <c r="Y203" s="5">
        <v>0</v>
      </c>
      <c r="Z203" s="5">
        <v>0</v>
      </c>
      <c r="AA203" s="5">
        <v>1</v>
      </c>
      <c r="AB203" s="5">
        <v>0</v>
      </c>
      <c r="AC203" s="5">
        <v>0</v>
      </c>
      <c r="AD203" s="56">
        <v>0</v>
      </c>
      <c r="AE203" s="20">
        <v>201</v>
      </c>
      <c r="AF203" s="142"/>
    </row>
    <row r="204" spans="1:32" ht="15" customHeight="1">
      <c r="A204" s="47" t="s">
        <v>481</v>
      </c>
      <c r="B204" s="4" t="s">
        <v>482</v>
      </c>
      <c r="C204" s="41" t="s">
        <v>41</v>
      </c>
      <c r="D204" s="35" t="s">
        <v>168</v>
      </c>
      <c r="E204" s="4" t="s">
        <v>143</v>
      </c>
      <c r="F204" s="4">
        <v>1</v>
      </c>
      <c r="G204" s="4">
        <v>1</v>
      </c>
      <c r="H204" s="4"/>
      <c r="I204" s="29" t="s">
        <v>476</v>
      </c>
      <c r="J204" s="35"/>
      <c r="K204" s="4"/>
      <c r="L204" s="4"/>
      <c r="M204" s="16">
        <v>1</v>
      </c>
      <c r="N204" s="5">
        <v>1</v>
      </c>
      <c r="O204" s="5"/>
      <c r="P204" s="5">
        <v>0</v>
      </c>
      <c r="Q204" s="53">
        <v>1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1</v>
      </c>
      <c r="Y204" s="5">
        <v>0</v>
      </c>
      <c r="Z204" s="5">
        <v>0</v>
      </c>
      <c r="AA204" s="5">
        <v>1</v>
      </c>
      <c r="AB204" s="5">
        <v>0</v>
      </c>
      <c r="AC204" s="5">
        <v>0</v>
      </c>
      <c r="AD204" s="56">
        <v>0</v>
      </c>
      <c r="AE204" s="53">
        <v>202</v>
      </c>
      <c r="AF204" s="142"/>
    </row>
    <row r="205" spans="1:32" ht="15" customHeight="1">
      <c r="A205" s="47" t="s">
        <v>483</v>
      </c>
      <c r="B205" s="4" t="s">
        <v>484</v>
      </c>
      <c r="C205" s="41" t="s">
        <v>41</v>
      </c>
      <c r="D205" s="31" t="s">
        <v>168</v>
      </c>
      <c r="E205" s="4" t="s">
        <v>143</v>
      </c>
      <c r="F205" s="4">
        <v>1</v>
      </c>
      <c r="G205" s="4">
        <v>1</v>
      </c>
      <c r="H205" s="4" t="s">
        <v>144</v>
      </c>
      <c r="I205" s="24" t="str">
        <f>A205</f>
        <v>S7.020.741</v>
      </c>
      <c r="J205" s="31"/>
      <c r="K205" s="4"/>
      <c r="L205" s="4"/>
      <c r="M205" s="16">
        <v>1</v>
      </c>
      <c r="N205" s="5">
        <v>1</v>
      </c>
      <c r="O205" s="5"/>
      <c r="P205" s="5">
        <v>0</v>
      </c>
      <c r="Q205" s="53">
        <v>1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1</v>
      </c>
      <c r="Y205" s="5">
        <v>0</v>
      </c>
      <c r="Z205" s="5">
        <v>0</v>
      </c>
      <c r="AA205" s="5">
        <v>1</v>
      </c>
      <c r="AB205" s="5">
        <v>0</v>
      </c>
      <c r="AC205" s="5">
        <v>0</v>
      </c>
      <c r="AD205" s="56">
        <v>0</v>
      </c>
      <c r="AE205" s="53">
        <v>203</v>
      </c>
      <c r="AF205" s="142"/>
    </row>
    <row r="206" spans="1:32" ht="15" customHeight="1">
      <c r="A206" s="47" t="s">
        <v>485</v>
      </c>
      <c r="B206" s="4" t="s">
        <v>486</v>
      </c>
      <c r="C206" s="40" t="s">
        <v>41</v>
      </c>
      <c r="D206" s="35" t="s">
        <v>168</v>
      </c>
      <c r="E206" s="4" t="s">
        <v>143</v>
      </c>
      <c r="F206" s="4">
        <v>4</v>
      </c>
      <c r="G206" s="4">
        <v>1</v>
      </c>
      <c r="H206" s="4" t="s">
        <v>144</v>
      </c>
      <c r="I206" s="24" t="str">
        <f>A206</f>
        <v>S7.030.705</v>
      </c>
      <c r="J206" s="35"/>
      <c r="K206" s="4"/>
      <c r="L206" s="4"/>
      <c r="M206" s="16">
        <v>1</v>
      </c>
      <c r="N206" s="5">
        <v>1</v>
      </c>
      <c r="O206" s="5"/>
      <c r="P206" s="5">
        <v>0</v>
      </c>
      <c r="Q206" s="53">
        <v>1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1</v>
      </c>
      <c r="Y206" s="5">
        <v>0</v>
      </c>
      <c r="Z206" s="5">
        <v>0</v>
      </c>
      <c r="AA206" s="5">
        <v>3</v>
      </c>
      <c r="AB206" s="5">
        <v>0</v>
      </c>
      <c r="AC206" s="5">
        <v>0</v>
      </c>
      <c r="AD206" s="56">
        <v>0</v>
      </c>
      <c r="AE206" s="53">
        <v>204</v>
      </c>
      <c r="AF206" s="142"/>
    </row>
    <row r="207" spans="1:32" ht="15" customHeight="1">
      <c r="A207" s="47" t="s">
        <v>487</v>
      </c>
      <c r="B207" s="4" t="s">
        <v>488</v>
      </c>
      <c r="C207" s="40" t="s">
        <v>41</v>
      </c>
      <c r="D207" s="31" t="s">
        <v>168</v>
      </c>
      <c r="E207" s="4" t="s">
        <v>143</v>
      </c>
      <c r="F207" s="4">
        <v>4</v>
      </c>
      <c r="G207" s="4">
        <v>1</v>
      </c>
      <c r="H207" s="4" t="s">
        <v>144</v>
      </c>
      <c r="I207" s="24" t="str">
        <f>A207</f>
        <v>S7.030.710</v>
      </c>
      <c r="J207" s="31"/>
      <c r="K207" s="4"/>
      <c r="L207" s="4"/>
      <c r="M207" s="16">
        <v>1</v>
      </c>
      <c r="N207" s="5">
        <v>1</v>
      </c>
      <c r="O207" s="5"/>
      <c r="P207" s="5">
        <v>0</v>
      </c>
      <c r="Q207" s="53">
        <v>1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1</v>
      </c>
      <c r="Y207" s="5">
        <v>0</v>
      </c>
      <c r="Z207" s="5">
        <v>0</v>
      </c>
      <c r="AA207" s="5">
        <v>1</v>
      </c>
      <c r="AB207" s="5">
        <v>0</v>
      </c>
      <c r="AC207" s="5">
        <v>0</v>
      </c>
      <c r="AD207" s="56">
        <v>0</v>
      </c>
      <c r="AE207" s="20">
        <v>205</v>
      </c>
      <c r="AF207" s="142"/>
    </row>
    <row r="208" spans="1:32" ht="15" customHeight="1">
      <c r="A208" s="47" t="s">
        <v>489</v>
      </c>
      <c r="B208" s="4" t="s">
        <v>490</v>
      </c>
      <c r="C208" s="41" t="s">
        <v>41</v>
      </c>
      <c r="D208" s="35" t="s">
        <v>168</v>
      </c>
      <c r="E208" s="4" t="s">
        <v>155</v>
      </c>
      <c r="F208" s="4">
        <v>2</v>
      </c>
      <c r="G208" s="4">
        <v>1</v>
      </c>
      <c r="H208" s="4" t="s">
        <v>156</v>
      </c>
      <c r="I208" s="29" t="s">
        <v>491</v>
      </c>
      <c r="J208" s="35"/>
      <c r="K208" s="4"/>
      <c r="L208" s="4"/>
      <c r="M208" s="16">
        <v>1</v>
      </c>
      <c r="N208" s="5">
        <v>1</v>
      </c>
      <c r="O208" s="5"/>
      <c r="P208" s="5">
        <v>0</v>
      </c>
      <c r="Q208" s="53">
        <v>1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1</v>
      </c>
      <c r="Y208" s="5">
        <v>0</v>
      </c>
      <c r="Z208" s="5">
        <v>0</v>
      </c>
      <c r="AA208" s="5">
        <v>1</v>
      </c>
      <c r="AB208" s="5">
        <v>0</v>
      </c>
      <c r="AC208" s="5">
        <v>0</v>
      </c>
      <c r="AD208" s="56">
        <v>0</v>
      </c>
      <c r="AE208" s="20">
        <v>206</v>
      </c>
      <c r="AF208" s="142"/>
    </row>
    <row r="209" spans="1:32" ht="15" customHeight="1">
      <c r="A209" s="47" t="s">
        <v>492</v>
      </c>
      <c r="B209" s="4" t="s">
        <v>493</v>
      </c>
      <c r="C209" s="41" t="s">
        <v>41</v>
      </c>
      <c r="D209" s="31" t="s">
        <v>168</v>
      </c>
      <c r="E209" s="4" t="s">
        <v>155</v>
      </c>
      <c r="F209" s="4">
        <v>3</v>
      </c>
      <c r="G209" s="4">
        <v>1</v>
      </c>
      <c r="H209" s="4" t="s">
        <v>156</v>
      </c>
      <c r="I209" s="24" t="str">
        <f t="shared" ref="I209:I216" si="13">A209</f>
        <v>S8.020.804</v>
      </c>
      <c r="J209" s="31"/>
      <c r="K209" s="4"/>
      <c r="L209" s="4"/>
      <c r="M209" s="16">
        <v>1</v>
      </c>
      <c r="N209" s="5">
        <v>3</v>
      </c>
      <c r="O209" s="5"/>
      <c r="P209" s="5">
        <v>0</v>
      </c>
      <c r="Q209" s="5">
        <v>3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1</v>
      </c>
      <c r="Y209" s="5">
        <v>0</v>
      </c>
      <c r="Z209" s="5">
        <v>0</v>
      </c>
      <c r="AA209" s="5">
        <v>2</v>
      </c>
      <c r="AB209" s="5">
        <v>0</v>
      </c>
      <c r="AC209" s="5">
        <v>0</v>
      </c>
      <c r="AD209" s="56">
        <v>0</v>
      </c>
      <c r="AE209" s="53">
        <v>207</v>
      </c>
      <c r="AF209" s="142"/>
    </row>
    <row r="210" spans="1:32" ht="15" customHeight="1">
      <c r="A210" s="47" t="s">
        <v>494</v>
      </c>
      <c r="B210" s="4" t="s">
        <v>495</v>
      </c>
      <c r="C210" s="41" t="s">
        <v>41</v>
      </c>
      <c r="D210" s="35" t="s">
        <v>168</v>
      </c>
      <c r="E210" s="4" t="s">
        <v>155</v>
      </c>
      <c r="F210" s="4">
        <v>3</v>
      </c>
      <c r="G210" s="4">
        <v>1</v>
      </c>
      <c r="H210" s="4" t="s">
        <v>156</v>
      </c>
      <c r="I210" s="24" t="str">
        <f t="shared" si="13"/>
        <v>S8.020.805</v>
      </c>
      <c r="J210" s="35"/>
      <c r="K210" s="4"/>
      <c r="L210" s="4"/>
      <c r="M210" s="16">
        <v>1</v>
      </c>
      <c r="N210" s="5">
        <v>1</v>
      </c>
      <c r="O210" s="5"/>
      <c r="P210" s="5">
        <v>0</v>
      </c>
      <c r="Q210" s="53">
        <v>1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1</v>
      </c>
      <c r="Y210" s="5">
        <v>0</v>
      </c>
      <c r="Z210" s="5">
        <v>0</v>
      </c>
      <c r="AA210" s="5">
        <v>1</v>
      </c>
      <c r="AB210" s="5">
        <v>0</v>
      </c>
      <c r="AC210" s="5">
        <v>0</v>
      </c>
      <c r="AD210" s="56">
        <v>0</v>
      </c>
      <c r="AE210" s="53">
        <v>208</v>
      </c>
      <c r="AF210" s="142"/>
    </row>
    <row r="211" spans="1:32" ht="15" customHeight="1">
      <c r="A211" s="47" t="s">
        <v>496</v>
      </c>
      <c r="B211" s="4" t="s">
        <v>497</v>
      </c>
      <c r="C211" s="40" t="s">
        <v>41</v>
      </c>
      <c r="D211" s="31" t="s">
        <v>168</v>
      </c>
      <c r="E211" s="4" t="s">
        <v>155</v>
      </c>
      <c r="F211" s="4">
        <v>3</v>
      </c>
      <c r="G211" s="10">
        <v>1</v>
      </c>
      <c r="H211" s="4" t="s">
        <v>156</v>
      </c>
      <c r="I211" s="24" t="str">
        <f t="shared" si="13"/>
        <v>S8.020.806</v>
      </c>
      <c r="J211" s="31"/>
      <c r="K211" s="4"/>
      <c r="L211" s="4"/>
      <c r="M211" s="16">
        <v>1</v>
      </c>
      <c r="N211" s="5">
        <v>1</v>
      </c>
      <c r="O211" s="5"/>
      <c r="P211" s="5">
        <v>0</v>
      </c>
      <c r="Q211" s="53">
        <v>1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2</v>
      </c>
      <c r="Y211" s="5">
        <v>0</v>
      </c>
      <c r="Z211" s="5">
        <v>0</v>
      </c>
      <c r="AA211" s="5">
        <v>1</v>
      </c>
      <c r="AB211" s="5">
        <v>0</v>
      </c>
      <c r="AC211" s="5">
        <v>0</v>
      </c>
      <c r="AD211" s="56">
        <v>0</v>
      </c>
      <c r="AE211" s="53">
        <v>209</v>
      </c>
      <c r="AF211" s="142"/>
    </row>
    <row r="212" spans="1:32" ht="15" customHeight="1">
      <c r="A212" s="47" t="s">
        <v>498</v>
      </c>
      <c r="B212" s="4" t="s">
        <v>499</v>
      </c>
      <c r="C212" s="40" t="s">
        <v>41</v>
      </c>
      <c r="D212" s="35" t="s">
        <v>168</v>
      </c>
      <c r="E212" s="4" t="s">
        <v>155</v>
      </c>
      <c r="F212" s="4">
        <v>3</v>
      </c>
      <c r="G212" s="110">
        <v>1</v>
      </c>
      <c r="H212" s="4" t="s">
        <v>156</v>
      </c>
      <c r="I212" s="24" t="str">
        <f t="shared" si="13"/>
        <v>S8.020.810</v>
      </c>
      <c r="J212" s="35"/>
      <c r="K212" s="4"/>
      <c r="L212" s="4"/>
      <c r="M212" s="16">
        <v>1</v>
      </c>
      <c r="N212" s="5">
        <v>1</v>
      </c>
      <c r="O212" s="5"/>
      <c r="P212" s="5">
        <v>0</v>
      </c>
      <c r="Q212" s="53">
        <v>1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1</v>
      </c>
      <c r="Y212" s="5">
        <v>0</v>
      </c>
      <c r="Z212" s="5">
        <v>0</v>
      </c>
      <c r="AA212" s="5">
        <v>1</v>
      </c>
      <c r="AB212" s="5">
        <v>0</v>
      </c>
      <c r="AC212" s="5">
        <v>0</v>
      </c>
      <c r="AD212" s="56">
        <v>0</v>
      </c>
      <c r="AE212" s="20">
        <v>210</v>
      </c>
      <c r="AF212" s="142"/>
    </row>
    <row r="213" spans="1:32" ht="15" customHeight="1">
      <c r="A213" s="47" t="s">
        <v>500</v>
      </c>
      <c r="B213" s="4" t="s">
        <v>501</v>
      </c>
      <c r="C213" s="41" t="s">
        <v>41</v>
      </c>
      <c r="D213" s="31" t="s">
        <v>168</v>
      </c>
      <c r="E213" s="4" t="s">
        <v>155</v>
      </c>
      <c r="F213" s="4">
        <v>3</v>
      </c>
      <c r="G213" s="4">
        <v>1</v>
      </c>
      <c r="H213" s="4" t="s">
        <v>156</v>
      </c>
      <c r="I213" s="24" t="str">
        <f t="shared" si="13"/>
        <v>S8.020.811</v>
      </c>
      <c r="J213" s="31"/>
      <c r="K213" s="4"/>
      <c r="L213" s="4"/>
      <c r="M213" s="16">
        <v>1</v>
      </c>
      <c r="N213" s="5">
        <v>2</v>
      </c>
      <c r="O213" s="5"/>
      <c r="P213" s="5">
        <v>0</v>
      </c>
      <c r="Q213" s="5">
        <v>2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1</v>
      </c>
      <c r="Y213" s="5">
        <v>0</v>
      </c>
      <c r="Z213" s="5">
        <v>0</v>
      </c>
      <c r="AA213" s="5">
        <v>1</v>
      </c>
      <c r="AB213" s="5">
        <v>0</v>
      </c>
      <c r="AC213" s="5">
        <v>0</v>
      </c>
      <c r="AD213" s="56">
        <v>0</v>
      </c>
      <c r="AE213" s="20">
        <v>211</v>
      </c>
      <c r="AF213" s="142"/>
    </row>
    <row r="214" spans="1:32" ht="15" customHeight="1">
      <c r="A214" s="47" t="s">
        <v>502</v>
      </c>
      <c r="B214" s="4" t="s">
        <v>503</v>
      </c>
      <c r="C214" s="41" t="s">
        <v>41</v>
      </c>
      <c r="D214" s="35" t="s">
        <v>168</v>
      </c>
      <c r="E214" s="4" t="s">
        <v>155</v>
      </c>
      <c r="F214" s="4">
        <v>2</v>
      </c>
      <c r="G214" s="4">
        <v>1</v>
      </c>
      <c r="H214" s="4" t="s">
        <v>156</v>
      </c>
      <c r="I214" s="24" t="str">
        <f t="shared" si="13"/>
        <v>S8.020.815</v>
      </c>
      <c r="J214" s="35"/>
      <c r="K214" s="4"/>
      <c r="L214" s="4"/>
      <c r="M214" s="16">
        <v>1</v>
      </c>
      <c r="N214" s="5">
        <v>1</v>
      </c>
      <c r="O214" s="5"/>
      <c r="P214" s="5">
        <v>0</v>
      </c>
      <c r="Q214" s="53">
        <v>1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1</v>
      </c>
      <c r="Y214" s="5">
        <v>0</v>
      </c>
      <c r="Z214" s="5">
        <v>0</v>
      </c>
      <c r="AA214" s="5">
        <v>1</v>
      </c>
      <c r="AB214" s="5">
        <v>0</v>
      </c>
      <c r="AC214" s="5">
        <v>0</v>
      </c>
      <c r="AD214" s="56">
        <v>0</v>
      </c>
      <c r="AE214" s="53">
        <v>212</v>
      </c>
      <c r="AF214" s="142"/>
    </row>
    <row r="215" spans="1:32" ht="15" customHeight="1">
      <c r="A215" s="47" t="s">
        <v>504</v>
      </c>
      <c r="B215" s="4" t="s">
        <v>505</v>
      </c>
      <c r="C215" s="41" t="s">
        <v>41</v>
      </c>
      <c r="D215" s="31" t="s">
        <v>168</v>
      </c>
      <c r="E215" s="4" t="s">
        <v>155</v>
      </c>
      <c r="F215" s="4">
        <v>2</v>
      </c>
      <c r="G215" s="4">
        <v>1</v>
      </c>
      <c r="H215" s="4" t="s">
        <v>156</v>
      </c>
      <c r="I215" s="24" t="str">
        <f t="shared" si="13"/>
        <v>S8.020.819</v>
      </c>
      <c r="J215" s="31"/>
      <c r="K215" s="4"/>
      <c r="L215" s="4"/>
      <c r="M215" s="16">
        <v>1</v>
      </c>
      <c r="N215" s="5">
        <v>1</v>
      </c>
      <c r="O215" s="5"/>
      <c r="P215" s="5">
        <v>0</v>
      </c>
      <c r="Q215" s="53">
        <v>1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1</v>
      </c>
      <c r="Y215" s="5">
        <v>0</v>
      </c>
      <c r="Z215" s="5">
        <v>0</v>
      </c>
      <c r="AA215" s="5">
        <v>1</v>
      </c>
      <c r="AB215" s="5">
        <v>0</v>
      </c>
      <c r="AC215" s="5">
        <v>0</v>
      </c>
      <c r="AD215" s="56">
        <v>0</v>
      </c>
      <c r="AE215" s="53">
        <v>213</v>
      </c>
      <c r="AF215" s="142"/>
    </row>
    <row r="216" spans="1:32" ht="15" customHeight="1">
      <c r="A216" s="47" t="s">
        <v>506</v>
      </c>
      <c r="B216" s="4" t="s">
        <v>507</v>
      </c>
      <c r="C216" s="40" t="s">
        <v>41</v>
      </c>
      <c r="D216" s="35" t="s">
        <v>168</v>
      </c>
      <c r="E216" s="4" t="s">
        <v>155</v>
      </c>
      <c r="F216" s="4">
        <v>1</v>
      </c>
      <c r="G216" s="4">
        <v>1</v>
      </c>
      <c r="H216" s="4" t="s">
        <v>156</v>
      </c>
      <c r="I216" s="24" t="str">
        <f t="shared" si="13"/>
        <v>S8.020.834</v>
      </c>
      <c r="J216" s="35"/>
      <c r="K216" s="4"/>
      <c r="L216" s="4"/>
      <c r="M216" s="16">
        <v>1</v>
      </c>
      <c r="N216" s="5">
        <v>1</v>
      </c>
      <c r="O216" s="5"/>
      <c r="P216" s="5">
        <v>0</v>
      </c>
      <c r="Q216" s="53">
        <v>1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1</v>
      </c>
      <c r="Y216" s="5">
        <v>0</v>
      </c>
      <c r="Z216" s="5">
        <v>0</v>
      </c>
      <c r="AA216" s="5">
        <v>1</v>
      </c>
      <c r="AB216" s="5">
        <v>0</v>
      </c>
      <c r="AC216" s="5">
        <v>0</v>
      </c>
      <c r="AD216" s="56">
        <v>0</v>
      </c>
      <c r="AE216" s="53">
        <v>214</v>
      </c>
      <c r="AF216" s="142"/>
    </row>
    <row r="217" spans="1:32" ht="15" customHeight="1">
      <c r="A217" s="47" t="s">
        <v>508</v>
      </c>
      <c r="B217" s="4" t="s">
        <v>509</v>
      </c>
      <c r="C217" s="40" t="s">
        <v>41</v>
      </c>
      <c r="D217" s="31" t="s">
        <v>168</v>
      </c>
      <c r="E217" s="4" t="s">
        <v>155</v>
      </c>
      <c r="F217" s="4">
        <v>1</v>
      </c>
      <c r="G217" s="4">
        <v>1</v>
      </c>
      <c r="H217" s="4"/>
      <c r="I217" s="29" t="s">
        <v>510</v>
      </c>
      <c r="J217" s="31"/>
      <c r="K217" s="4"/>
      <c r="L217" s="4"/>
      <c r="M217" s="16">
        <v>1</v>
      </c>
      <c r="N217" s="5">
        <v>1</v>
      </c>
      <c r="O217" s="5"/>
      <c r="P217" s="5">
        <v>0</v>
      </c>
      <c r="Q217" s="53">
        <v>1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1</v>
      </c>
      <c r="Y217" s="5">
        <v>0</v>
      </c>
      <c r="Z217" s="5">
        <v>0</v>
      </c>
      <c r="AA217" s="5">
        <v>1</v>
      </c>
      <c r="AB217" s="5">
        <v>0</v>
      </c>
      <c r="AC217" s="5">
        <v>0</v>
      </c>
      <c r="AD217" s="56">
        <v>0</v>
      </c>
      <c r="AE217" s="20">
        <v>215</v>
      </c>
      <c r="AF217" s="142"/>
    </row>
    <row r="218" spans="1:32" ht="15" customHeight="1">
      <c r="A218" s="47" t="s">
        <v>511</v>
      </c>
      <c r="B218" s="4" t="s">
        <v>512</v>
      </c>
      <c r="C218" s="41" t="s">
        <v>41</v>
      </c>
      <c r="D218" s="35" t="s">
        <v>168</v>
      </c>
      <c r="E218" s="4" t="s">
        <v>155</v>
      </c>
      <c r="F218" s="4">
        <v>1</v>
      </c>
      <c r="G218" s="4">
        <v>1</v>
      </c>
      <c r="H218" s="4" t="s">
        <v>156</v>
      </c>
      <c r="I218" s="24" t="str">
        <f>A218</f>
        <v>S8.020.837</v>
      </c>
      <c r="J218" s="35"/>
      <c r="K218" s="4"/>
      <c r="L218" s="4"/>
      <c r="M218" s="16">
        <v>1</v>
      </c>
      <c r="N218" s="5">
        <v>3</v>
      </c>
      <c r="O218" s="5"/>
      <c r="P218" s="5">
        <v>0</v>
      </c>
      <c r="Q218" s="5">
        <v>3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3</v>
      </c>
      <c r="Y218" s="5">
        <v>0</v>
      </c>
      <c r="Z218" s="5">
        <v>0</v>
      </c>
      <c r="AA218" s="5">
        <v>3</v>
      </c>
      <c r="AB218" s="5">
        <v>0</v>
      </c>
      <c r="AC218" s="5">
        <v>0</v>
      </c>
      <c r="AD218" s="56">
        <v>0</v>
      </c>
      <c r="AE218" s="20">
        <v>216</v>
      </c>
      <c r="AF218" s="142"/>
    </row>
    <row r="219" spans="1:32" ht="15" customHeight="1">
      <c r="A219" s="47" t="s">
        <v>513</v>
      </c>
      <c r="B219" s="4" t="s">
        <v>514</v>
      </c>
      <c r="C219" s="41" t="s">
        <v>41</v>
      </c>
      <c r="D219" s="31" t="s">
        <v>168</v>
      </c>
      <c r="E219" s="4" t="s">
        <v>155</v>
      </c>
      <c r="F219" s="4">
        <v>1</v>
      </c>
      <c r="G219" s="4">
        <v>1</v>
      </c>
      <c r="H219" s="4"/>
      <c r="I219" s="29" t="s">
        <v>510</v>
      </c>
      <c r="J219" s="31"/>
      <c r="K219" s="4"/>
      <c r="L219" s="4"/>
      <c r="M219" s="16">
        <v>1</v>
      </c>
      <c r="N219" s="5">
        <v>1</v>
      </c>
      <c r="O219" s="5"/>
      <c r="P219" s="5">
        <v>0</v>
      </c>
      <c r="Q219" s="53">
        <v>1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1</v>
      </c>
      <c r="Y219" s="5">
        <v>0</v>
      </c>
      <c r="Z219" s="5">
        <v>0</v>
      </c>
      <c r="AA219" s="5">
        <v>1</v>
      </c>
      <c r="AB219" s="5">
        <v>0</v>
      </c>
      <c r="AC219" s="5">
        <v>0</v>
      </c>
      <c r="AD219" s="56">
        <v>0</v>
      </c>
      <c r="AE219" s="53">
        <v>217</v>
      </c>
      <c r="AF219" s="142"/>
    </row>
    <row r="220" spans="1:32" ht="15" customHeight="1">
      <c r="A220" s="47" t="s">
        <v>515</v>
      </c>
      <c r="B220" s="4" t="s">
        <v>516</v>
      </c>
      <c r="C220" s="41" t="s">
        <v>41</v>
      </c>
      <c r="D220" s="35" t="s">
        <v>168</v>
      </c>
      <c r="E220" s="4" t="s">
        <v>155</v>
      </c>
      <c r="F220" s="4">
        <v>1</v>
      </c>
      <c r="G220" s="4">
        <v>1</v>
      </c>
      <c r="H220" s="4"/>
      <c r="I220" s="29" t="s">
        <v>510</v>
      </c>
      <c r="J220" s="35"/>
      <c r="K220" s="4"/>
      <c r="L220" s="4"/>
      <c r="M220" s="16">
        <v>1</v>
      </c>
      <c r="N220" s="5">
        <v>1</v>
      </c>
      <c r="O220" s="5"/>
      <c r="P220" s="5">
        <v>0</v>
      </c>
      <c r="Q220" s="53">
        <v>1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1</v>
      </c>
      <c r="Y220" s="5">
        <v>0</v>
      </c>
      <c r="Z220" s="5">
        <v>0</v>
      </c>
      <c r="AA220" s="5">
        <v>1</v>
      </c>
      <c r="AB220" s="5">
        <v>0</v>
      </c>
      <c r="AC220" s="5">
        <v>0</v>
      </c>
      <c r="AD220" s="56">
        <v>0</v>
      </c>
      <c r="AE220" s="53">
        <v>218</v>
      </c>
      <c r="AF220" s="142"/>
    </row>
    <row r="221" spans="1:32" ht="15" customHeight="1">
      <c r="A221" s="47" t="s">
        <v>517</v>
      </c>
      <c r="B221" s="4" t="s">
        <v>518</v>
      </c>
      <c r="C221" s="40" t="s">
        <v>41</v>
      </c>
      <c r="D221" s="31" t="s">
        <v>168</v>
      </c>
      <c r="E221" s="4" t="s">
        <v>155</v>
      </c>
      <c r="F221" s="4">
        <v>1</v>
      </c>
      <c r="G221" s="4">
        <v>1</v>
      </c>
      <c r="H221" s="4" t="s">
        <v>156</v>
      </c>
      <c r="I221" s="24" t="str">
        <f>A221</f>
        <v>S8.020.841</v>
      </c>
      <c r="J221" s="31"/>
      <c r="K221" s="4"/>
      <c r="L221" s="4"/>
      <c r="M221" s="16">
        <v>1</v>
      </c>
      <c r="N221" s="5">
        <v>1</v>
      </c>
      <c r="O221" s="5"/>
      <c r="P221" s="5">
        <v>0</v>
      </c>
      <c r="Q221" s="53">
        <v>1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1</v>
      </c>
      <c r="Y221" s="5">
        <v>0</v>
      </c>
      <c r="Z221" s="5">
        <v>0</v>
      </c>
      <c r="AA221" s="5">
        <v>1</v>
      </c>
      <c r="AB221" s="5">
        <v>0</v>
      </c>
      <c r="AC221" s="5">
        <v>0</v>
      </c>
      <c r="AD221" s="56">
        <v>0</v>
      </c>
      <c r="AE221" s="53">
        <v>219</v>
      </c>
      <c r="AF221" s="142"/>
    </row>
    <row r="222" spans="1:32" ht="15" customHeight="1">
      <c r="A222" s="47" t="s">
        <v>519</v>
      </c>
      <c r="B222" s="4" t="s">
        <v>520</v>
      </c>
      <c r="C222" s="40" t="s">
        <v>41</v>
      </c>
      <c r="D222" s="35" t="s">
        <v>168</v>
      </c>
      <c r="E222" s="4" t="s">
        <v>155</v>
      </c>
      <c r="F222" s="4">
        <v>4</v>
      </c>
      <c r="G222" s="4">
        <v>1</v>
      </c>
      <c r="H222" s="4" t="s">
        <v>156</v>
      </c>
      <c r="I222" s="24" t="str">
        <f>A222</f>
        <v>S8.030.805</v>
      </c>
      <c r="J222" s="35"/>
      <c r="K222" s="4"/>
      <c r="L222" s="4"/>
      <c r="M222" s="16">
        <v>1</v>
      </c>
      <c r="N222" s="5">
        <v>1</v>
      </c>
      <c r="O222" s="5"/>
      <c r="P222" s="5">
        <v>0</v>
      </c>
      <c r="Q222" s="53">
        <v>1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1</v>
      </c>
      <c r="Y222" s="5">
        <v>0</v>
      </c>
      <c r="Z222" s="5">
        <v>0</v>
      </c>
      <c r="AA222" s="5">
        <v>3</v>
      </c>
      <c r="AB222" s="5">
        <v>0</v>
      </c>
      <c r="AC222" s="5">
        <v>0</v>
      </c>
      <c r="AD222" s="56">
        <v>0</v>
      </c>
      <c r="AE222" s="20">
        <v>220</v>
      </c>
      <c r="AF222" s="142"/>
    </row>
    <row r="223" spans="1:32" ht="15" customHeight="1">
      <c r="A223" s="47" t="s">
        <v>521</v>
      </c>
      <c r="B223" s="4" t="s">
        <v>522</v>
      </c>
      <c r="C223" s="41" t="s">
        <v>41</v>
      </c>
      <c r="D223" s="31" t="s">
        <v>168</v>
      </c>
      <c r="E223" s="4" t="s">
        <v>155</v>
      </c>
      <c r="F223" s="4">
        <v>4</v>
      </c>
      <c r="G223" s="4">
        <v>1</v>
      </c>
      <c r="H223" s="4" t="s">
        <v>156</v>
      </c>
      <c r="I223" s="24" t="str">
        <f>A223</f>
        <v>S8.030.810</v>
      </c>
      <c r="J223" s="31"/>
      <c r="K223" s="4"/>
      <c r="L223" s="4"/>
      <c r="M223" s="16">
        <v>1</v>
      </c>
      <c r="N223" s="5">
        <v>1</v>
      </c>
      <c r="O223" s="5"/>
      <c r="P223" s="5">
        <v>0</v>
      </c>
      <c r="Q223" s="53">
        <v>1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1</v>
      </c>
      <c r="Y223" s="5">
        <v>0</v>
      </c>
      <c r="Z223" s="5">
        <v>0</v>
      </c>
      <c r="AA223" s="5">
        <v>1</v>
      </c>
      <c r="AB223" s="5">
        <v>0</v>
      </c>
      <c r="AC223" s="5">
        <v>0</v>
      </c>
      <c r="AD223" s="56">
        <v>0</v>
      </c>
      <c r="AE223" s="20">
        <v>221</v>
      </c>
      <c r="AF223" s="142"/>
    </row>
    <row r="224" spans="1:32" ht="15.75" customHeight="1">
      <c r="A224" s="153" t="s">
        <v>523</v>
      </c>
      <c r="B224" s="162"/>
      <c r="C224" s="166"/>
      <c r="D224" s="171"/>
      <c r="E224" s="162"/>
      <c r="F224" s="162"/>
      <c r="G224" s="162"/>
      <c r="H224" s="19"/>
      <c r="I224" s="19"/>
      <c r="J224" s="171"/>
      <c r="K224" s="19"/>
      <c r="L224" s="19"/>
      <c r="M224" s="182">
        <f>SUM(M225:M240)</f>
        <v>16</v>
      </c>
      <c r="N224" s="186">
        <f>SUM(N225:N240)</f>
        <v>16</v>
      </c>
      <c r="O224" s="186"/>
      <c r="P224" s="186">
        <f t="shared" ref="P224:AD224" si="14">SUM(P225:P240)</f>
        <v>0</v>
      </c>
      <c r="Q224" s="91">
        <f t="shared" si="14"/>
        <v>16</v>
      </c>
      <c r="R224" s="186">
        <f t="shared" si="14"/>
        <v>0</v>
      </c>
      <c r="S224" s="186">
        <f t="shared" si="14"/>
        <v>0</v>
      </c>
      <c r="T224" s="186">
        <f t="shared" si="14"/>
        <v>0</v>
      </c>
      <c r="U224" s="186">
        <f t="shared" si="14"/>
        <v>0</v>
      </c>
      <c r="V224" s="186">
        <f t="shared" si="14"/>
        <v>0</v>
      </c>
      <c r="W224" s="186">
        <f t="shared" si="14"/>
        <v>0</v>
      </c>
      <c r="X224" s="186">
        <f t="shared" si="14"/>
        <v>0</v>
      </c>
      <c r="Y224" s="186">
        <f t="shared" si="14"/>
        <v>16</v>
      </c>
      <c r="Z224" s="186">
        <f t="shared" si="14"/>
        <v>0</v>
      </c>
      <c r="AA224" s="186">
        <f t="shared" si="14"/>
        <v>16</v>
      </c>
      <c r="AB224" s="186">
        <f t="shared" si="14"/>
        <v>0</v>
      </c>
      <c r="AC224" s="186">
        <f t="shared" si="14"/>
        <v>0</v>
      </c>
      <c r="AD224" s="195">
        <f t="shared" si="14"/>
        <v>0</v>
      </c>
      <c r="AE224" s="53">
        <v>222</v>
      </c>
      <c r="AF224" s="142"/>
    </row>
    <row r="225" spans="1:32" ht="15.75" customHeight="1">
      <c r="A225" s="46" t="s">
        <v>524</v>
      </c>
      <c r="B225" s="10" t="s">
        <v>525</v>
      </c>
      <c r="C225" s="38" t="s">
        <v>41</v>
      </c>
      <c r="D225" s="31" t="s">
        <v>526</v>
      </c>
      <c r="E225" s="4" t="s">
        <v>71</v>
      </c>
      <c r="F225" s="10">
        <v>3</v>
      </c>
      <c r="G225" s="10">
        <v>1</v>
      </c>
      <c r="H225" s="4" t="s">
        <v>72</v>
      </c>
      <c r="I225" s="24" t="str">
        <f t="shared" ref="I225:I240" si="15">A225</f>
        <v>S1.020.113</v>
      </c>
      <c r="J225" s="31"/>
      <c r="K225" s="4"/>
      <c r="L225" s="4"/>
      <c r="M225" s="15">
        <v>1</v>
      </c>
      <c r="N225" s="11">
        <v>1</v>
      </c>
      <c r="O225" s="11"/>
      <c r="P225" s="11">
        <v>0</v>
      </c>
      <c r="Q225" s="5">
        <v>1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1</v>
      </c>
      <c r="Z225" s="11">
        <v>0</v>
      </c>
      <c r="AA225" s="11">
        <v>1</v>
      </c>
      <c r="AB225" s="11">
        <v>0</v>
      </c>
      <c r="AC225" s="11">
        <v>0</v>
      </c>
      <c r="AD225" s="55">
        <v>0</v>
      </c>
      <c r="AE225" s="53">
        <v>223</v>
      </c>
      <c r="AF225" s="142"/>
    </row>
    <row r="226" spans="1:32" ht="15" customHeight="1">
      <c r="A226" s="47" t="s">
        <v>527</v>
      </c>
      <c r="B226" s="4" t="s">
        <v>528</v>
      </c>
      <c r="C226" s="40" t="s">
        <v>41</v>
      </c>
      <c r="D226" s="34" t="s">
        <v>526</v>
      </c>
      <c r="E226" s="4" t="s">
        <v>71</v>
      </c>
      <c r="F226" s="4">
        <v>3</v>
      </c>
      <c r="G226" s="4">
        <v>1</v>
      </c>
      <c r="H226" s="4" t="s">
        <v>72</v>
      </c>
      <c r="I226" s="24" t="str">
        <f t="shared" si="15"/>
        <v>S1.020.114</v>
      </c>
      <c r="J226" s="34"/>
      <c r="K226" s="4"/>
      <c r="L226" s="4"/>
      <c r="M226" s="16">
        <v>1</v>
      </c>
      <c r="N226" s="5">
        <v>1</v>
      </c>
      <c r="O226" s="5"/>
      <c r="P226" s="5">
        <v>0</v>
      </c>
      <c r="Q226" s="5">
        <v>1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1</v>
      </c>
      <c r="Z226" s="5">
        <v>0</v>
      </c>
      <c r="AA226" s="5">
        <v>1</v>
      </c>
      <c r="AB226" s="5">
        <v>0</v>
      </c>
      <c r="AC226" s="5">
        <v>0</v>
      </c>
      <c r="AD226" s="56">
        <v>0</v>
      </c>
      <c r="AE226" s="53">
        <v>224</v>
      </c>
      <c r="AF226" s="142"/>
    </row>
    <row r="227" spans="1:32" ht="15" customHeight="1">
      <c r="A227" s="47" t="s">
        <v>529</v>
      </c>
      <c r="B227" s="4" t="s">
        <v>530</v>
      </c>
      <c r="C227" s="38" t="s">
        <v>41</v>
      </c>
      <c r="D227" s="31" t="s">
        <v>526</v>
      </c>
      <c r="E227" s="4" t="s">
        <v>83</v>
      </c>
      <c r="F227" s="10">
        <v>3</v>
      </c>
      <c r="G227" s="10">
        <v>1</v>
      </c>
      <c r="H227" s="4" t="s">
        <v>84</v>
      </c>
      <c r="I227" s="24" t="str">
        <f t="shared" si="15"/>
        <v>S2.020.213</v>
      </c>
      <c r="J227" s="31"/>
      <c r="K227" s="4"/>
      <c r="L227" s="4"/>
      <c r="M227" s="16">
        <v>1</v>
      </c>
      <c r="N227" s="5">
        <v>1</v>
      </c>
      <c r="O227" s="5"/>
      <c r="P227" s="5">
        <v>0</v>
      </c>
      <c r="Q227" s="5">
        <v>1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1</v>
      </c>
      <c r="Z227" s="5">
        <v>0</v>
      </c>
      <c r="AA227" s="5">
        <v>1</v>
      </c>
      <c r="AB227" s="5">
        <v>0</v>
      </c>
      <c r="AC227" s="5">
        <v>0</v>
      </c>
      <c r="AD227" s="56">
        <v>0</v>
      </c>
      <c r="AE227" s="20">
        <v>225</v>
      </c>
      <c r="AF227" s="142"/>
    </row>
    <row r="228" spans="1:32" ht="15" customHeight="1">
      <c r="A228" s="47" t="s">
        <v>531</v>
      </c>
      <c r="B228" s="4" t="s">
        <v>532</v>
      </c>
      <c r="C228" s="40" t="s">
        <v>41</v>
      </c>
      <c r="D228" s="34" t="s">
        <v>526</v>
      </c>
      <c r="E228" s="4" t="s">
        <v>83</v>
      </c>
      <c r="F228" s="4">
        <v>3</v>
      </c>
      <c r="G228" s="4">
        <v>1</v>
      </c>
      <c r="H228" s="4" t="s">
        <v>84</v>
      </c>
      <c r="I228" s="24" t="str">
        <f t="shared" si="15"/>
        <v>S2.020.214</v>
      </c>
      <c r="J228" s="34"/>
      <c r="K228" s="4"/>
      <c r="L228" s="4"/>
      <c r="M228" s="16">
        <v>1</v>
      </c>
      <c r="N228" s="5">
        <v>1</v>
      </c>
      <c r="O228" s="5"/>
      <c r="P228" s="5">
        <v>0</v>
      </c>
      <c r="Q228" s="5">
        <v>1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1</v>
      </c>
      <c r="Z228" s="5">
        <v>0</v>
      </c>
      <c r="AA228" s="5">
        <v>1</v>
      </c>
      <c r="AB228" s="5">
        <v>0</v>
      </c>
      <c r="AC228" s="5">
        <v>0</v>
      </c>
      <c r="AD228" s="56">
        <v>0</v>
      </c>
      <c r="AE228" s="20">
        <v>226</v>
      </c>
      <c r="AF228" s="142"/>
    </row>
    <row r="229" spans="1:32" ht="15" customHeight="1">
      <c r="A229" s="47" t="s">
        <v>533</v>
      </c>
      <c r="B229" s="90" t="s">
        <v>534</v>
      </c>
      <c r="C229" s="38" t="s">
        <v>41</v>
      </c>
      <c r="D229" s="31" t="s">
        <v>526</v>
      </c>
      <c r="E229" s="4" t="s">
        <v>95</v>
      </c>
      <c r="F229" s="10">
        <v>3</v>
      </c>
      <c r="G229" s="10">
        <v>1</v>
      </c>
      <c r="H229" s="4" t="s">
        <v>96</v>
      </c>
      <c r="I229" s="24" t="str">
        <f t="shared" si="15"/>
        <v>S3.020.313</v>
      </c>
      <c r="J229" s="31"/>
      <c r="K229" s="4"/>
      <c r="L229" s="4"/>
      <c r="M229" s="16">
        <v>1</v>
      </c>
      <c r="N229" s="5">
        <v>1</v>
      </c>
      <c r="O229" s="5"/>
      <c r="P229" s="5">
        <v>0</v>
      </c>
      <c r="Q229" s="5">
        <v>1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1</v>
      </c>
      <c r="Z229" s="5">
        <v>0</v>
      </c>
      <c r="AA229" s="5">
        <v>1</v>
      </c>
      <c r="AB229" s="5">
        <v>0</v>
      </c>
      <c r="AC229" s="5">
        <v>0</v>
      </c>
      <c r="AD229" s="56">
        <v>0</v>
      </c>
      <c r="AE229" s="53">
        <v>227</v>
      </c>
      <c r="AF229" s="142"/>
    </row>
    <row r="230" spans="1:32" ht="15" customHeight="1">
      <c r="A230" s="47" t="s">
        <v>535</v>
      </c>
      <c r="B230" s="90" t="s">
        <v>536</v>
      </c>
      <c r="C230" s="40" t="s">
        <v>41</v>
      </c>
      <c r="D230" s="34" t="s">
        <v>526</v>
      </c>
      <c r="E230" s="4" t="s">
        <v>95</v>
      </c>
      <c r="F230" s="4">
        <v>3</v>
      </c>
      <c r="G230" s="4">
        <v>1</v>
      </c>
      <c r="H230" s="4" t="s">
        <v>96</v>
      </c>
      <c r="I230" s="24" t="str">
        <f t="shared" si="15"/>
        <v>S3.020.314</v>
      </c>
      <c r="J230" s="34"/>
      <c r="K230" s="4"/>
      <c r="L230" s="4"/>
      <c r="M230" s="16">
        <v>1</v>
      </c>
      <c r="N230" s="5">
        <v>1</v>
      </c>
      <c r="O230" s="5"/>
      <c r="P230" s="5">
        <v>0</v>
      </c>
      <c r="Q230" s="5">
        <v>1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1</v>
      </c>
      <c r="Z230" s="5">
        <v>0</v>
      </c>
      <c r="AA230" s="5">
        <v>1</v>
      </c>
      <c r="AB230" s="5">
        <v>0</v>
      </c>
      <c r="AC230" s="5">
        <v>0</v>
      </c>
      <c r="AD230" s="56">
        <v>0</v>
      </c>
      <c r="AE230" s="53">
        <v>228</v>
      </c>
      <c r="AF230" s="142"/>
    </row>
    <row r="231" spans="1:32" ht="15">
      <c r="A231" s="47" t="s">
        <v>537</v>
      </c>
      <c r="B231" s="4" t="s">
        <v>538</v>
      </c>
      <c r="C231" s="38" t="s">
        <v>41</v>
      </c>
      <c r="D231" s="31" t="s">
        <v>526</v>
      </c>
      <c r="E231" s="4" t="s">
        <v>107</v>
      </c>
      <c r="F231" s="10">
        <v>3</v>
      </c>
      <c r="G231" s="10">
        <v>1</v>
      </c>
      <c r="H231" s="4" t="s">
        <v>108</v>
      </c>
      <c r="I231" s="24" t="str">
        <f t="shared" si="15"/>
        <v>S4.020.413</v>
      </c>
      <c r="J231" s="31"/>
      <c r="K231" s="4"/>
      <c r="L231" s="4"/>
      <c r="M231" s="16">
        <v>1</v>
      </c>
      <c r="N231" s="5">
        <v>1</v>
      </c>
      <c r="O231" s="5"/>
      <c r="P231" s="5">
        <v>0</v>
      </c>
      <c r="Q231" s="5">
        <v>1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1</v>
      </c>
      <c r="Z231" s="5">
        <v>0</v>
      </c>
      <c r="AA231" s="5">
        <v>1</v>
      </c>
      <c r="AB231" s="5">
        <v>0</v>
      </c>
      <c r="AC231" s="5">
        <v>0</v>
      </c>
      <c r="AD231" s="56">
        <v>0</v>
      </c>
      <c r="AE231" s="53">
        <v>229</v>
      </c>
      <c r="AF231" s="142"/>
    </row>
    <row r="232" spans="1:32" ht="15">
      <c r="A232" s="47" t="s">
        <v>539</v>
      </c>
      <c r="B232" s="4" t="s">
        <v>540</v>
      </c>
      <c r="C232" s="40" t="s">
        <v>41</v>
      </c>
      <c r="D232" s="34" t="s">
        <v>526</v>
      </c>
      <c r="E232" s="4" t="s">
        <v>107</v>
      </c>
      <c r="F232" s="4">
        <v>3</v>
      </c>
      <c r="G232" s="4">
        <v>1</v>
      </c>
      <c r="H232" s="4" t="s">
        <v>108</v>
      </c>
      <c r="I232" s="24" t="str">
        <f t="shared" si="15"/>
        <v>S4.020.414</v>
      </c>
      <c r="J232" s="34"/>
      <c r="K232" s="4"/>
      <c r="L232" s="4"/>
      <c r="M232" s="16">
        <v>1</v>
      </c>
      <c r="N232" s="5">
        <v>1</v>
      </c>
      <c r="O232" s="5"/>
      <c r="P232" s="5">
        <v>0</v>
      </c>
      <c r="Q232" s="5">
        <v>1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1</v>
      </c>
      <c r="Z232" s="5">
        <v>0</v>
      </c>
      <c r="AA232" s="5">
        <v>1</v>
      </c>
      <c r="AB232" s="5">
        <v>0</v>
      </c>
      <c r="AC232" s="5">
        <v>0</v>
      </c>
      <c r="AD232" s="56">
        <v>0</v>
      </c>
      <c r="AE232" s="20">
        <v>230</v>
      </c>
      <c r="AF232" s="142"/>
    </row>
    <row r="233" spans="1:32" ht="15">
      <c r="A233" s="47" t="s">
        <v>541</v>
      </c>
      <c r="B233" s="4" t="s">
        <v>542</v>
      </c>
      <c r="C233" s="38" t="s">
        <v>41</v>
      </c>
      <c r="D233" s="31" t="s">
        <v>526</v>
      </c>
      <c r="E233" s="4" t="s">
        <v>119</v>
      </c>
      <c r="F233" s="10">
        <v>3</v>
      </c>
      <c r="G233" s="10">
        <v>1</v>
      </c>
      <c r="H233" s="4" t="s">
        <v>120</v>
      </c>
      <c r="I233" s="24" t="str">
        <f t="shared" si="15"/>
        <v>S5.020.513</v>
      </c>
      <c r="J233" s="31"/>
      <c r="K233" s="4"/>
      <c r="L233" s="4"/>
      <c r="M233" s="16">
        <v>1</v>
      </c>
      <c r="N233" s="5">
        <v>1</v>
      </c>
      <c r="O233" s="5"/>
      <c r="P233" s="5">
        <v>0</v>
      </c>
      <c r="Q233" s="5">
        <v>1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1</v>
      </c>
      <c r="Z233" s="5">
        <v>0</v>
      </c>
      <c r="AA233" s="5">
        <v>1</v>
      </c>
      <c r="AB233" s="5">
        <v>0</v>
      </c>
      <c r="AC233" s="5">
        <v>0</v>
      </c>
      <c r="AD233" s="56">
        <v>0</v>
      </c>
      <c r="AE233" s="20">
        <v>231</v>
      </c>
      <c r="AF233" s="142"/>
    </row>
    <row r="234" spans="1:32" ht="15">
      <c r="A234" s="47" t="s">
        <v>543</v>
      </c>
      <c r="B234" s="4" t="s">
        <v>544</v>
      </c>
      <c r="C234" s="40" t="s">
        <v>41</v>
      </c>
      <c r="D234" s="34" t="s">
        <v>526</v>
      </c>
      <c r="E234" s="4" t="s">
        <v>119</v>
      </c>
      <c r="F234" s="4">
        <v>3</v>
      </c>
      <c r="G234" s="4">
        <v>1</v>
      </c>
      <c r="H234" s="4" t="s">
        <v>120</v>
      </c>
      <c r="I234" s="24" t="str">
        <f t="shared" si="15"/>
        <v>S5.020.514</v>
      </c>
      <c r="J234" s="34"/>
      <c r="K234" s="4"/>
      <c r="L234" s="4"/>
      <c r="M234" s="16">
        <v>1</v>
      </c>
      <c r="N234" s="5">
        <v>1</v>
      </c>
      <c r="O234" s="5"/>
      <c r="P234" s="5">
        <v>0</v>
      </c>
      <c r="Q234" s="5">
        <v>1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1</v>
      </c>
      <c r="Z234" s="5">
        <v>0</v>
      </c>
      <c r="AA234" s="5">
        <v>1</v>
      </c>
      <c r="AB234" s="5">
        <v>0</v>
      </c>
      <c r="AC234" s="5">
        <v>0</v>
      </c>
      <c r="AD234" s="56">
        <v>0</v>
      </c>
      <c r="AE234" s="53">
        <v>232</v>
      </c>
      <c r="AF234" s="142"/>
    </row>
    <row r="235" spans="1:32" ht="15">
      <c r="A235" s="47" t="s">
        <v>545</v>
      </c>
      <c r="B235" s="4" t="s">
        <v>546</v>
      </c>
      <c r="C235" s="38" t="s">
        <v>41</v>
      </c>
      <c r="D235" s="31" t="s">
        <v>526</v>
      </c>
      <c r="E235" s="4" t="s">
        <v>131</v>
      </c>
      <c r="F235" s="10">
        <v>3</v>
      </c>
      <c r="G235" s="10">
        <v>1</v>
      </c>
      <c r="H235" s="4" t="s">
        <v>132</v>
      </c>
      <c r="I235" s="24" t="str">
        <f t="shared" si="15"/>
        <v>S6.020.613</v>
      </c>
      <c r="J235" s="31"/>
      <c r="K235" s="4"/>
      <c r="L235" s="4"/>
      <c r="M235" s="16">
        <v>1</v>
      </c>
      <c r="N235" s="5">
        <v>1</v>
      </c>
      <c r="O235" s="5"/>
      <c r="P235" s="5">
        <v>0</v>
      </c>
      <c r="Q235" s="5">
        <v>1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1</v>
      </c>
      <c r="Z235" s="5">
        <v>0</v>
      </c>
      <c r="AA235" s="5">
        <v>1</v>
      </c>
      <c r="AB235" s="5">
        <v>0</v>
      </c>
      <c r="AC235" s="5">
        <v>0</v>
      </c>
      <c r="AD235" s="56">
        <v>0</v>
      </c>
      <c r="AE235" s="53">
        <v>233</v>
      </c>
      <c r="AF235" s="142"/>
    </row>
    <row r="236" spans="1:32" ht="15">
      <c r="A236" s="47" t="s">
        <v>547</v>
      </c>
      <c r="B236" s="4" t="s">
        <v>548</v>
      </c>
      <c r="C236" s="40" t="s">
        <v>41</v>
      </c>
      <c r="D236" s="34" t="s">
        <v>526</v>
      </c>
      <c r="E236" s="4" t="s">
        <v>131</v>
      </c>
      <c r="F236" s="4">
        <v>3</v>
      </c>
      <c r="G236" s="4">
        <v>1</v>
      </c>
      <c r="H236" s="4" t="s">
        <v>132</v>
      </c>
      <c r="I236" s="24" t="str">
        <f t="shared" si="15"/>
        <v>S6.020.614</v>
      </c>
      <c r="J236" s="34"/>
      <c r="K236" s="4"/>
      <c r="L236" s="4"/>
      <c r="M236" s="16">
        <v>1</v>
      </c>
      <c r="N236" s="5">
        <v>1</v>
      </c>
      <c r="O236" s="5"/>
      <c r="P236" s="5">
        <v>0</v>
      </c>
      <c r="Q236" s="5">
        <v>1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1</v>
      </c>
      <c r="Z236" s="5">
        <v>0</v>
      </c>
      <c r="AA236" s="5">
        <v>1</v>
      </c>
      <c r="AB236" s="5">
        <v>0</v>
      </c>
      <c r="AC236" s="5">
        <v>0</v>
      </c>
      <c r="AD236" s="56">
        <v>0</v>
      </c>
      <c r="AE236" s="53">
        <v>234</v>
      </c>
      <c r="AF236" s="142"/>
    </row>
    <row r="237" spans="1:32" ht="15" customHeight="1">
      <c r="A237" s="47" t="s">
        <v>549</v>
      </c>
      <c r="B237" s="4" t="s">
        <v>550</v>
      </c>
      <c r="C237" s="38" t="s">
        <v>41</v>
      </c>
      <c r="D237" s="31" t="s">
        <v>526</v>
      </c>
      <c r="E237" s="4" t="s">
        <v>143</v>
      </c>
      <c r="F237" s="10">
        <v>3</v>
      </c>
      <c r="G237" s="10">
        <v>1</v>
      </c>
      <c r="H237" s="4" t="s">
        <v>144</v>
      </c>
      <c r="I237" s="24" t="str">
        <f t="shared" si="15"/>
        <v>S7.020.713</v>
      </c>
      <c r="J237" s="31"/>
      <c r="K237" s="4"/>
      <c r="L237" s="4"/>
      <c r="M237" s="16">
        <v>1</v>
      </c>
      <c r="N237" s="5">
        <v>1</v>
      </c>
      <c r="O237" s="5"/>
      <c r="P237" s="5">
        <v>0</v>
      </c>
      <c r="Q237" s="5">
        <v>1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1</v>
      </c>
      <c r="Z237" s="5">
        <v>0</v>
      </c>
      <c r="AA237" s="5">
        <v>1</v>
      </c>
      <c r="AB237" s="5">
        <v>0</v>
      </c>
      <c r="AC237" s="5">
        <v>0</v>
      </c>
      <c r="AD237" s="56">
        <v>0</v>
      </c>
      <c r="AE237" s="20">
        <v>235</v>
      </c>
      <c r="AF237" s="142"/>
    </row>
    <row r="238" spans="1:32" ht="15" customHeight="1">
      <c r="A238" s="47" t="s">
        <v>551</v>
      </c>
      <c r="B238" s="4" t="s">
        <v>552</v>
      </c>
      <c r="C238" s="40" t="s">
        <v>41</v>
      </c>
      <c r="D238" s="34" t="s">
        <v>526</v>
      </c>
      <c r="E238" s="4" t="s">
        <v>143</v>
      </c>
      <c r="F238" s="4">
        <v>3</v>
      </c>
      <c r="G238" s="4">
        <v>1</v>
      </c>
      <c r="H238" s="4" t="s">
        <v>144</v>
      </c>
      <c r="I238" s="24" t="str">
        <f t="shared" si="15"/>
        <v>S7.020.714</v>
      </c>
      <c r="J238" s="34"/>
      <c r="K238" s="4"/>
      <c r="L238" s="4"/>
      <c r="M238" s="16">
        <v>1</v>
      </c>
      <c r="N238" s="5">
        <v>1</v>
      </c>
      <c r="O238" s="5"/>
      <c r="P238" s="5">
        <v>0</v>
      </c>
      <c r="Q238" s="5">
        <v>1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1</v>
      </c>
      <c r="Z238" s="5">
        <v>0</v>
      </c>
      <c r="AA238" s="5">
        <v>1</v>
      </c>
      <c r="AB238" s="5">
        <v>0</v>
      </c>
      <c r="AC238" s="5">
        <v>0</v>
      </c>
      <c r="AD238" s="56">
        <v>0</v>
      </c>
      <c r="AE238" s="20">
        <v>236</v>
      </c>
      <c r="AF238" s="142"/>
    </row>
    <row r="239" spans="1:32" ht="15" customHeight="1">
      <c r="A239" s="47" t="s">
        <v>553</v>
      </c>
      <c r="B239" s="4" t="s">
        <v>554</v>
      </c>
      <c r="C239" s="38" t="s">
        <v>41</v>
      </c>
      <c r="D239" s="31" t="s">
        <v>526</v>
      </c>
      <c r="E239" s="4" t="s">
        <v>155</v>
      </c>
      <c r="F239" s="10">
        <v>3</v>
      </c>
      <c r="G239" s="10">
        <v>1</v>
      </c>
      <c r="H239" s="4" t="s">
        <v>156</v>
      </c>
      <c r="I239" s="24" t="str">
        <f t="shared" si="15"/>
        <v>S8.020.813</v>
      </c>
      <c r="J239" s="31"/>
      <c r="K239" s="4"/>
      <c r="L239" s="4"/>
      <c r="M239" s="16">
        <v>1</v>
      </c>
      <c r="N239" s="5">
        <v>1</v>
      </c>
      <c r="O239" s="5"/>
      <c r="P239" s="5">
        <v>0</v>
      </c>
      <c r="Q239" s="5">
        <v>1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1</v>
      </c>
      <c r="Z239" s="5">
        <v>0</v>
      </c>
      <c r="AA239" s="5">
        <v>1</v>
      </c>
      <c r="AB239" s="5">
        <v>0</v>
      </c>
      <c r="AC239" s="5">
        <v>0</v>
      </c>
      <c r="AD239" s="56">
        <v>0</v>
      </c>
      <c r="AE239" s="53">
        <v>237</v>
      </c>
      <c r="AF239" s="142"/>
    </row>
    <row r="240" spans="1:32" ht="15" customHeight="1">
      <c r="A240" s="47" t="s">
        <v>555</v>
      </c>
      <c r="B240" s="4" t="s">
        <v>556</v>
      </c>
      <c r="C240" s="40" t="s">
        <v>41</v>
      </c>
      <c r="D240" s="34" t="s">
        <v>526</v>
      </c>
      <c r="E240" s="4" t="s">
        <v>155</v>
      </c>
      <c r="F240" s="4">
        <v>3</v>
      </c>
      <c r="G240" s="4">
        <v>1</v>
      </c>
      <c r="H240" s="4" t="s">
        <v>156</v>
      </c>
      <c r="I240" s="24" t="str">
        <f t="shared" si="15"/>
        <v>S8.020.814</v>
      </c>
      <c r="J240" s="34"/>
      <c r="K240" s="4"/>
      <c r="L240" s="4"/>
      <c r="M240" s="16">
        <v>1</v>
      </c>
      <c r="N240" s="5">
        <v>1</v>
      </c>
      <c r="O240" s="5"/>
      <c r="P240" s="5">
        <v>0</v>
      </c>
      <c r="Q240" s="5">
        <v>1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1</v>
      </c>
      <c r="Z240" s="5">
        <v>0</v>
      </c>
      <c r="AA240" s="5">
        <v>1</v>
      </c>
      <c r="AB240" s="5">
        <v>0</v>
      </c>
      <c r="AC240" s="5">
        <v>0</v>
      </c>
      <c r="AD240" s="56">
        <v>0</v>
      </c>
      <c r="AE240" s="53">
        <v>238</v>
      </c>
      <c r="AF240" s="142"/>
    </row>
    <row r="241" spans="1:32" ht="15.75" customHeight="1">
      <c r="A241" s="153" t="s">
        <v>557</v>
      </c>
      <c r="B241" s="162"/>
      <c r="C241" s="166"/>
      <c r="D241" s="171"/>
      <c r="E241" s="162"/>
      <c r="F241" s="162"/>
      <c r="G241" s="162"/>
      <c r="H241" s="19"/>
      <c r="I241" s="19"/>
      <c r="J241" s="171"/>
      <c r="K241" s="19"/>
      <c r="L241" s="19"/>
      <c r="M241" s="182">
        <f>SUM(M242:M242)</f>
        <v>1</v>
      </c>
      <c r="N241" s="186">
        <f>SUM(N242:N242)</f>
        <v>1</v>
      </c>
      <c r="O241" s="186"/>
      <c r="P241" s="186">
        <f t="shared" ref="P241:AD241" si="16">SUM(P242:P242)</f>
        <v>0</v>
      </c>
      <c r="Q241" s="91">
        <f t="shared" si="16"/>
        <v>1</v>
      </c>
      <c r="R241" s="186">
        <f t="shared" si="16"/>
        <v>1</v>
      </c>
      <c r="S241" s="186">
        <f t="shared" si="16"/>
        <v>0</v>
      </c>
      <c r="T241" s="186">
        <f t="shared" si="16"/>
        <v>0</v>
      </c>
      <c r="U241" s="186">
        <f t="shared" si="16"/>
        <v>0</v>
      </c>
      <c r="V241" s="186">
        <f t="shared" si="16"/>
        <v>0</v>
      </c>
      <c r="W241" s="186">
        <f t="shared" si="16"/>
        <v>0</v>
      </c>
      <c r="X241" s="186">
        <f t="shared" si="16"/>
        <v>1</v>
      </c>
      <c r="Y241" s="186">
        <f t="shared" si="16"/>
        <v>0</v>
      </c>
      <c r="Z241" s="186">
        <f t="shared" si="16"/>
        <v>0</v>
      </c>
      <c r="AA241" s="186">
        <f t="shared" si="16"/>
        <v>6</v>
      </c>
      <c r="AB241" s="186">
        <f t="shared" si="16"/>
        <v>0</v>
      </c>
      <c r="AC241" s="186">
        <f t="shared" si="16"/>
        <v>0</v>
      </c>
      <c r="AD241" s="195">
        <f t="shared" si="16"/>
        <v>0</v>
      </c>
      <c r="AE241" s="53">
        <v>239</v>
      </c>
      <c r="AF241" s="142"/>
    </row>
    <row r="242" spans="1:32" ht="15.75" customHeight="1">
      <c r="A242" s="46" t="s">
        <v>558</v>
      </c>
      <c r="B242" s="10" t="s">
        <v>559</v>
      </c>
      <c r="C242" s="38" t="s">
        <v>41</v>
      </c>
      <c r="D242" s="31" t="s">
        <v>560</v>
      </c>
      <c r="E242" s="4" t="s">
        <v>57</v>
      </c>
      <c r="F242" s="10">
        <v>6</v>
      </c>
      <c r="G242" s="10">
        <v>2</v>
      </c>
      <c r="H242" s="4" t="s">
        <v>58</v>
      </c>
      <c r="I242" s="29" t="s">
        <v>561</v>
      </c>
      <c r="J242" s="31"/>
      <c r="K242" s="4"/>
      <c r="L242" s="4"/>
      <c r="M242" s="15">
        <v>1</v>
      </c>
      <c r="N242" s="11">
        <v>1</v>
      </c>
      <c r="O242" s="11"/>
      <c r="P242" s="11">
        <v>0</v>
      </c>
      <c r="Q242" s="5">
        <v>1</v>
      </c>
      <c r="R242" s="11">
        <v>1</v>
      </c>
      <c r="S242" s="11">
        <v>0</v>
      </c>
      <c r="T242" s="11">
        <v>0</v>
      </c>
      <c r="U242" s="11">
        <v>0</v>
      </c>
      <c r="V242" s="11">
        <v>0</v>
      </c>
      <c r="W242" s="11">
        <v>0</v>
      </c>
      <c r="X242" s="11">
        <v>1</v>
      </c>
      <c r="Y242" s="11">
        <v>0</v>
      </c>
      <c r="Z242" s="11">
        <v>0</v>
      </c>
      <c r="AA242" s="11">
        <v>6</v>
      </c>
      <c r="AB242" s="11">
        <v>0</v>
      </c>
      <c r="AC242" s="11">
        <v>0</v>
      </c>
      <c r="AD242" s="55">
        <v>0</v>
      </c>
      <c r="AE242" s="20">
        <v>240</v>
      </c>
      <c r="AF242" s="142"/>
    </row>
    <row r="243" spans="1:32" ht="15.75" customHeight="1">
      <c r="A243" s="153" t="s">
        <v>562</v>
      </c>
      <c r="B243" s="162"/>
      <c r="C243" s="166"/>
      <c r="D243" s="171"/>
      <c r="E243" s="162"/>
      <c r="F243" s="162"/>
      <c r="G243" s="162"/>
      <c r="H243" s="19"/>
      <c r="I243" s="19"/>
      <c r="J243" s="171"/>
      <c r="K243" s="19"/>
      <c r="L243" s="19"/>
      <c r="M243" s="182">
        <f>SUM(M244:M275)</f>
        <v>32</v>
      </c>
      <c r="N243" s="186">
        <f>SUM(N244:N275)</f>
        <v>32</v>
      </c>
      <c r="O243" s="186"/>
      <c r="P243" s="186">
        <f t="shared" ref="P243:AD243" si="17">SUM(P244:P275)</f>
        <v>0</v>
      </c>
      <c r="Q243" s="91">
        <f t="shared" si="17"/>
        <v>32</v>
      </c>
      <c r="R243" s="186">
        <f t="shared" si="17"/>
        <v>0</v>
      </c>
      <c r="S243" s="186">
        <f t="shared" si="17"/>
        <v>32</v>
      </c>
      <c r="T243" s="186">
        <f t="shared" si="17"/>
        <v>0</v>
      </c>
      <c r="U243" s="186">
        <f t="shared" si="17"/>
        <v>0</v>
      </c>
      <c r="V243" s="186">
        <f t="shared" si="17"/>
        <v>0</v>
      </c>
      <c r="W243" s="186">
        <f t="shared" si="17"/>
        <v>0</v>
      </c>
      <c r="X243" s="186">
        <f t="shared" si="17"/>
        <v>0</v>
      </c>
      <c r="Y243" s="186">
        <f t="shared" si="17"/>
        <v>116</v>
      </c>
      <c r="Z243" s="186">
        <f t="shared" si="17"/>
        <v>0</v>
      </c>
      <c r="AA243" s="186">
        <f t="shared" si="17"/>
        <v>116</v>
      </c>
      <c r="AB243" s="186">
        <f t="shared" si="17"/>
        <v>0</v>
      </c>
      <c r="AC243" s="186">
        <f t="shared" si="17"/>
        <v>0</v>
      </c>
      <c r="AD243" s="195">
        <f t="shared" si="17"/>
        <v>0</v>
      </c>
      <c r="AE243" s="20">
        <v>241</v>
      </c>
      <c r="AF243" s="142"/>
    </row>
    <row r="244" spans="1:32" ht="15.75" customHeight="1">
      <c r="A244" s="46" t="s">
        <v>563</v>
      </c>
      <c r="B244" s="10" t="s">
        <v>564</v>
      </c>
      <c r="C244" s="38" t="s">
        <v>41</v>
      </c>
      <c r="D244" s="31" t="s">
        <v>565</v>
      </c>
      <c r="E244" s="10" t="s">
        <v>43</v>
      </c>
      <c r="F244" s="10">
        <v>3</v>
      </c>
      <c r="G244" s="10">
        <v>1</v>
      </c>
      <c r="H244" s="4" t="s">
        <v>44</v>
      </c>
      <c r="I244" s="24" t="str">
        <f t="shared" ref="I244:I275" si="18">A244</f>
        <v>A1.020.001</v>
      </c>
      <c r="J244" s="31"/>
      <c r="K244" s="4"/>
      <c r="L244" s="4"/>
      <c r="M244" s="15">
        <v>1</v>
      </c>
      <c r="N244" s="11">
        <v>1</v>
      </c>
      <c r="O244" s="11"/>
      <c r="P244" s="11">
        <v>0</v>
      </c>
      <c r="Q244" s="5">
        <v>1</v>
      </c>
      <c r="R244" s="11">
        <v>0</v>
      </c>
      <c r="S244" s="11">
        <v>1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4</v>
      </c>
      <c r="Z244" s="11">
        <v>0</v>
      </c>
      <c r="AA244" s="11">
        <v>4</v>
      </c>
      <c r="AB244" s="11">
        <v>0</v>
      </c>
      <c r="AC244" s="11">
        <v>0</v>
      </c>
      <c r="AD244" s="55">
        <v>0</v>
      </c>
      <c r="AE244" s="53">
        <v>242</v>
      </c>
      <c r="AF244" s="142"/>
    </row>
    <row r="245" spans="1:32" ht="15" customHeight="1">
      <c r="A245" s="47" t="s">
        <v>566</v>
      </c>
      <c r="B245" s="4" t="s">
        <v>567</v>
      </c>
      <c r="C245" s="38" t="s">
        <v>41</v>
      </c>
      <c r="D245" s="31" t="s">
        <v>565</v>
      </c>
      <c r="E245" s="10" t="s">
        <v>43</v>
      </c>
      <c r="F245" s="4">
        <v>3</v>
      </c>
      <c r="G245" s="4">
        <v>1</v>
      </c>
      <c r="H245" s="4" t="s">
        <v>44</v>
      </c>
      <c r="I245" s="24" t="str">
        <f t="shared" si="18"/>
        <v>A1.020.008</v>
      </c>
      <c r="J245" s="31"/>
      <c r="K245" s="4"/>
      <c r="L245" s="4"/>
      <c r="M245" s="16">
        <v>1</v>
      </c>
      <c r="N245" s="5">
        <v>1</v>
      </c>
      <c r="O245" s="5"/>
      <c r="P245" s="5">
        <v>0</v>
      </c>
      <c r="Q245" s="5">
        <v>1</v>
      </c>
      <c r="R245" s="5">
        <v>0</v>
      </c>
      <c r="S245" s="5">
        <v>1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4</v>
      </c>
      <c r="Z245" s="5">
        <v>0</v>
      </c>
      <c r="AA245" s="5">
        <v>4</v>
      </c>
      <c r="AB245" s="5">
        <v>0</v>
      </c>
      <c r="AC245" s="5">
        <v>0</v>
      </c>
      <c r="AD245" s="56">
        <v>0</v>
      </c>
      <c r="AE245" s="53">
        <v>243</v>
      </c>
      <c r="AF245" s="142"/>
    </row>
    <row r="246" spans="1:32" ht="15" customHeight="1">
      <c r="A246" s="47" t="s">
        <v>568</v>
      </c>
      <c r="B246" s="4" t="s">
        <v>569</v>
      </c>
      <c r="C246" s="38" t="s">
        <v>41</v>
      </c>
      <c r="D246" s="31" t="s">
        <v>565</v>
      </c>
      <c r="E246" s="10" t="s">
        <v>43</v>
      </c>
      <c r="F246" s="4">
        <v>3</v>
      </c>
      <c r="G246" s="4">
        <v>1</v>
      </c>
      <c r="H246" s="4" t="s">
        <v>44</v>
      </c>
      <c r="I246" s="24" t="str">
        <f t="shared" si="18"/>
        <v>A1.020.010</v>
      </c>
      <c r="J246" s="31"/>
      <c r="K246" s="4"/>
      <c r="L246" s="4"/>
      <c r="M246" s="16">
        <v>1</v>
      </c>
      <c r="N246" s="5">
        <v>1</v>
      </c>
      <c r="O246" s="5"/>
      <c r="P246" s="5">
        <v>0</v>
      </c>
      <c r="Q246" s="5">
        <v>1</v>
      </c>
      <c r="R246" s="5">
        <v>0</v>
      </c>
      <c r="S246" s="5">
        <v>1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1</v>
      </c>
      <c r="Z246" s="5">
        <v>0</v>
      </c>
      <c r="AA246" s="5">
        <v>1</v>
      </c>
      <c r="AB246" s="5">
        <v>0</v>
      </c>
      <c r="AC246" s="5">
        <v>0</v>
      </c>
      <c r="AD246" s="56">
        <v>0</v>
      </c>
      <c r="AE246" s="53">
        <v>244</v>
      </c>
      <c r="AF246" s="142"/>
    </row>
    <row r="247" spans="1:32" ht="15" customHeight="1">
      <c r="A247" s="47" t="s">
        <v>570</v>
      </c>
      <c r="B247" s="4" t="s">
        <v>571</v>
      </c>
      <c r="C247" s="38" t="s">
        <v>41</v>
      </c>
      <c r="D247" s="31" t="s">
        <v>565</v>
      </c>
      <c r="E247" s="10" t="s">
        <v>43</v>
      </c>
      <c r="F247" s="4">
        <v>3</v>
      </c>
      <c r="G247" s="4">
        <v>1</v>
      </c>
      <c r="H247" s="4" t="s">
        <v>187</v>
      </c>
      <c r="I247" s="24" t="str">
        <f t="shared" si="18"/>
        <v>A1.020.086</v>
      </c>
      <c r="J247" s="31"/>
      <c r="K247" s="4"/>
      <c r="L247" s="4"/>
      <c r="M247" s="16">
        <v>1</v>
      </c>
      <c r="N247" s="5">
        <v>1</v>
      </c>
      <c r="O247" s="5"/>
      <c r="P247" s="5">
        <v>0</v>
      </c>
      <c r="Q247" s="5">
        <v>1</v>
      </c>
      <c r="R247" s="5">
        <v>0</v>
      </c>
      <c r="S247" s="5">
        <v>1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4</v>
      </c>
      <c r="Z247" s="5">
        <v>0</v>
      </c>
      <c r="AA247" s="5">
        <v>4</v>
      </c>
      <c r="AB247" s="5">
        <v>0</v>
      </c>
      <c r="AC247" s="5">
        <v>0</v>
      </c>
      <c r="AD247" s="56">
        <v>0</v>
      </c>
      <c r="AE247" s="20">
        <v>245</v>
      </c>
      <c r="AF247" s="142"/>
    </row>
    <row r="248" spans="1:32" ht="15" customHeight="1">
      <c r="A248" s="47" t="s">
        <v>572</v>
      </c>
      <c r="B248" s="4" t="s">
        <v>573</v>
      </c>
      <c r="C248" s="38" t="s">
        <v>41</v>
      </c>
      <c r="D248" s="31" t="s">
        <v>565</v>
      </c>
      <c r="E248" s="10" t="s">
        <v>43</v>
      </c>
      <c r="F248" s="4">
        <v>3</v>
      </c>
      <c r="G248" s="4">
        <v>1</v>
      </c>
      <c r="H248" s="4" t="s">
        <v>187</v>
      </c>
      <c r="I248" s="24" t="str">
        <f t="shared" si="18"/>
        <v>A1.020.087</v>
      </c>
      <c r="J248" s="31"/>
      <c r="K248" s="4"/>
      <c r="L248" s="4"/>
      <c r="M248" s="16">
        <v>1</v>
      </c>
      <c r="N248" s="5">
        <v>1</v>
      </c>
      <c r="O248" s="5"/>
      <c r="P248" s="5">
        <v>0</v>
      </c>
      <c r="Q248" s="5">
        <v>1</v>
      </c>
      <c r="R248" s="5">
        <v>0</v>
      </c>
      <c r="S248" s="5">
        <v>1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4</v>
      </c>
      <c r="Z248" s="5">
        <v>0</v>
      </c>
      <c r="AA248" s="5">
        <v>4</v>
      </c>
      <c r="AB248" s="5">
        <v>0</v>
      </c>
      <c r="AC248" s="5">
        <v>0</v>
      </c>
      <c r="AD248" s="56">
        <v>0</v>
      </c>
      <c r="AE248" s="20">
        <v>246</v>
      </c>
      <c r="AF248" s="142"/>
    </row>
    <row r="249" spans="1:32" ht="15" customHeight="1">
      <c r="A249" s="47" t="s">
        <v>574</v>
      </c>
      <c r="B249" s="4" t="s">
        <v>575</v>
      </c>
      <c r="C249" s="38" t="s">
        <v>41</v>
      </c>
      <c r="D249" s="31" t="s">
        <v>565</v>
      </c>
      <c r="E249" s="4" t="s">
        <v>57</v>
      </c>
      <c r="F249" s="4">
        <v>2</v>
      </c>
      <c r="G249" s="10">
        <v>1</v>
      </c>
      <c r="H249" s="4" t="s">
        <v>58</v>
      </c>
      <c r="I249" s="24" t="str">
        <f t="shared" si="18"/>
        <v>A2.020.008</v>
      </c>
      <c r="J249" s="31"/>
      <c r="K249" s="4"/>
      <c r="L249" s="4"/>
      <c r="M249" s="16">
        <v>1</v>
      </c>
      <c r="N249" s="5">
        <v>1</v>
      </c>
      <c r="O249" s="5"/>
      <c r="P249" s="5">
        <v>0</v>
      </c>
      <c r="Q249" s="5">
        <v>1</v>
      </c>
      <c r="R249" s="5">
        <v>0</v>
      </c>
      <c r="S249" s="5">
        <v>1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3</v>
      </c>
      <c r="Z249" s="5">
        <v>0</v>
      </c>
      <c r="AA249" s="5">
        <v>3</v>
      </c>
      <c r="AB249" s="5">
        <v>0</v>
      </c>
      <c r="AC249" s="5">
        <v>0</v>
      </c>
      <c r="AD249" s="56">
        <v>0</v>
      </c>
      <c r="AE249" s="53">
        <v>247</v>
      </c>
      <c r="AF249" s="142"/>
    </row>
    <row r="250" spans="1:32" ht="15" customHeight="1">
      <c r="A250" s="47" t="s">
        <v>576</v>
      </c>
      <c r="B250" s="4" t="s">
        <v>577</v>
      </c>
      <c r="C250" s="38" t="s">
        <v>41</v>
      </c>
      <c r="D250" s="31" t="s">
        <v>565</v>
      </c>
      <c r="E250" s="4" t="s">
        <v>57</v>
      </c>
      <c r="F250" s="4">
        <v>2</v>
      </c>
      <c r="G250" s="4">
        <v>1</v>
      </c>
      <c r="H250" s="4" t="s">
        <v>58</v>
      </c>
      <c r="I250" s="24" t="str">
        <f t="shared" si="18"/>
        <v>A2.020.020</v>
      </c>
      <c r="J250" s="31"/>
      <c r="K250" s="4"/>
      <c r="L250" s="4"/>
      <c r="M250" s="16">
        <v>1</v>
      </c>
      <c r="N250" s="5">
        <v>1</v>
      </c>
      <c r="O250" s="5"/>
      <c r="P250" s="5">
        <v>0</v>
      </c>
      <c r="Q250" s="5">
        <v>1</v>
      </c>
      <c r="R250" s="5">
        <v>0</v>
      </c>
      <c r="S250" s="5">
        <v>1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4</v>
      </c>
      <c r="Z250" s="5">
        <v>0</v>
      </c>
      <c r="AA250" s="5">
        <v>4</v>
      </c>
      <c r="AB250" s="5">
        <v>0</v>
      </c>
      <c r="AC250" s="5">
        <v>0</v>
      </c>
      <c r="AD250" s="56">
        <v>0</v>
      </c>
      <c r="AE250" s="53">
        <v>248</v>
      </c>
      <c r="AF250" s="142"/>
    </row>
    <row r="251" spans="1:32" ht="15" customHeight="1">
      <c r="A251" s="47" t="s">
        <v>578</v>
      </c>
      <c r="B251" s="4" t="s">
        <v>579</v>
      </c>
      <c r="C251" s="38" t="s">
        <v>41</v>
      </c>
      <c r="D251" s="31" t="s">
        <v>565</v>
      </c>
      <c r="E251" s="4" t="s">
        <v>57</v>
      </c>
      <c r="F251" s="4">
        <v>2</v>
      </c>
      <c r="G251" s="4">
        <v>1</v>
      </c>
      <c r="H251" s="4" t="s">
        <v>58</v>
      </c>
      <c r="I251" s="24" t="str">
        <f t="shared" si="18"/>
        <v>A2.020.057</v>
      </c>
      <c r="J251" s="31"/>
      <c r="K251" s="4"/>
      <c r="L251" s="4"/>
      <c r="M251" s="16">
        <v>1</v>
      </c>
      <c r="N251" s="5">
        <v>1</v>
      </c>
      <c r="O251" s="5"/>
      <c r="P251" s="5">
        <v>0</v>
      </c>
      <c r="Q251" s="5">
        <v>1</v>
      </c>
      <c r="R251" s="5">
        <v>0</v>
      </c>
      <c r="S251" s="5">
        <v>1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4</v>
      </c>
      <c r="Z251" s="5">
        <v>0</v>
      </c>
      <c r="AA251" s="5">
        <v>4</v>
      </c>
      <c r="AB251" s="5">
        <v>0</v>
      </c>
      <c r="AC251" s="5">
        <v>0</v>
      </c>
      <c r="AD251" s="56">
        <v>0</v>
      </c>
      <c r="AE251" s="53">
        <v>249</v>
      </c>
      <c r="AF251" s="142"/>
    </row>
    <row r="252" spans="1:32" ht="15" customHeight="1">
      <c r="A252" s="47" t="s">
        <v>580</v>
      </c>
      <c r="B252" s="4" t="s">
        <v>581</v>
      </c>
      <c r="C252" s="38" t="s">
        <v>41</v>
      </c>
      <c r="D252" s="31" t="s">
        <v>565</v>
      </c>
      <c r="E252" s="4" t="s">
        <v>71</v>
      </c>
      <c r="F252" s="4">
        <v>3</v>
      </c>
      <c r="G252" s="4">
        <v>1</v>
      </c>
      <c r="H252" s="4" t="s">
        <v>72</v>
      </c>
      <c r="I252" s="24" t="str">
        <f t="shared" si="18"/>
        <v>S1.020.112</v>
      </c>
      <c r="J252" s="31"/>
      <c r="K252" s="4"/>
      <c r="L252" s="4"/>
      <c r="M252" s="16">
        <v>1</v>
      </c>
      <c r="N252" s="5">
        <v>1</v>
      </c>
      <c r="O252" s="5"/>
      <c r="P252" s="5">
        <v>0</v>
      </c>
      <c r="Q252" s="5">
        <v>1</v>
      </c>
      <c r="R252" s="5">
        <v>0</v>
      </c>
      <c r="S252" s="5">
        <v>1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1</v>
      </c>
      <c r="Z252" s="5">
        <v>0</v>
      </c>
      <c r="AA252" s="5">
        <v>1</v>
      </c>
      <c r="AB252" s="5">
        <v>0</v>
      </c>
      <c r="AC252" s="5">
        <v>0</v>
      </c>
      <c r="AD252" s="56">
        <v>0</v>
      </c>
      <c r="AE252" s="20">
        <v>250</v>
      </c>
      <c r="AF252" s="142"/>
    </row>
    <row r="253" spans="1:32" ht="15" customHeight="1">
      <c r="A253" s="47" t="s">
        <v>582</v>
      </c>
      <c r="B253" s="4" t="s">
        <v>583</v>
      </c>
      <c r="C253" s="38" t="s">
        <v>41</v>
      </c>
      <c r="D253" s="31" t="s">
        <v>565</v>
      </c>
      <c r="E253" s="4" t="s">
        <v>71</v>
      </c>
      <c r="F253" s="4">
        <v>3</v>
      </c>
      <c r="G253" s="4">
        <v>1</v>
      </c>
      <c r="H253" s="4" t="s">
        <v>72</v>
      </c>
      <c r="I253" s="24" t="str">
        <f t="shared" si="18"/>
        <v>S1.020.120</v>
      </c>
      <c r="J253" s="31"/>
      <c r="K253" s="4"/>
      <c r="L253" s="4"/>
      <c r="M253" s="16">
        <v>1</v>
      </c>
      <c r="N253" s="5">
        <v>1</v>
      </c>
      <c r="O253" s="5"/>
      <c r="P253" s="5">
        <v>0</v>
      </c>
      <c r="Q253" s="5">
        <v>1</v>
      </c>
      <c r="R253" s="5">
        <v>0</v>
      </c>
      <c r="S253" s="5">
        <v>1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5</v>
      </c>
      <c r="Z253" s="5">
        <v>0</v>
      </c>
      <c r="AA253" s="5">
        <v>5</v>
      </c>
      <c r="AB253" s="5">
        <v>0</v>
      </c>
      <c r="AC253" s="5">
        <v>0</v>
      </c>
      <c r="AD253" s="56">
        <v>0</v>
      </c>
      <c r="AE253" s="20">
        <v>251</v>
      </c>
      <c r="AF253" s="142"/>
    </row>
    <row r="254" spans="1:32" ht="15" customHeight="1">
      <c r="A254" s="47" t="s">
        <v>584</v>
      </c>
      <c r="B254" s="4" t="s">
        <v>585</v>
      </c>
      <c r="C254" s="38" t="s">
        <v>41</v>
      </c>
      <c r="D254" s="31" t="s">
        <v>565</v>
      </c>
      <c r="E254" s="4" t="s">
        <v>71</v>
      </c>
      <c r="F254" s="4">
        <v>3</v>
      </c>
      <c r="G254" s="10">
        <v>1</v>
      </c>
      <c r="H254" s="4" t="s">
        <v>72</v>
      </c>
      <c r="I254" s="24" t="str">
        <f t="shared" si="18"/>
        <v>S1.020.128</v>
      </c>
      <c r="J254" s="31"/>
      <c r="K254" s="4"/>
      <c r="L254" s="4"/>
      <c r="M254" s="16">
        <v>1</v>
      </c>
      <c r="N254" s="5">
        <v>1</v>
      </c>
      <c r="O254" s="5"/>
      <c r="P254" s="5">
        <v>0</v>
      </c>
      <c r="Q254" s="5">
        <v>1</v>
      </c>
      <c r="R254" s="5">
        <v>0</v>
      </c>
      <c r="S254" s="5">
        <v>1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5</v>
      </c>
      <c r="Z254" s="5">
        <v>0</v>
      </c>
      <c r="AA254" s="5">
        <v>5</v>
      </c>
      <c r="AB254" s="5">
        <v>0</v>
      </c>
      <c r="AC254" s="5">
        <v>0</v>
      </c>
      <c r="AD254" s="56">
        <v>0</v>
      </c>
      <c r="AE254" s="53">
        <v>252</v>
      </c>
      <c r="AF254" s="142"/>
    </row>
    <row r="255" spans="1:32" ht="15">
      <c r="A255" s="47" t="s">
        <v>586</v>
      </c>
      <c r="B255" s="4" t="s">
        <v>587</v>
      </c>
      <c r="C255" s="38" t="s">
        <v>41</v>
      </c>
      <c r="D255" s="31" t="s">
        <v>565</v>
      </c>
      <c r="E255" s="4" t="s">
        <v>83</v>
      </c>
      <c r="F255" s="4">
        <v>3</v>
      </c>
      <c r="G255" s="4">
        <v>1</v>
      </c>
      <c r="H255" s="4" t="s">
        <v>84</v>
      </c>
      <c r="I255" s="24" t="str">
        <f t="shared" si="18"/>
        <v>S2.020.212</v>
      </c>
      <c r="J255" s="31"/>
      <c r="K255" s="4"/>
      <c r="L255" s="4"/>
      <c r="M255" s="16">
        <v>1</v>
      </c>
      <c r="N255" s="5">
        <v>1</v>
      </c>
      <c r="O255" s="5"/>
      <c r="P255" s="5">
        <v>0</v>
      </c>
      <c r="Q255" s="5">
        <v>1</v>
      </c>
      <c r="R255" s="5">
        <v>0</v>
      </c>
      <c r="S255" s="5">
        <v>1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1</v>
      </c>
      <c r="Z255" s="5">
        <v>0</v>
      </c>
      <c r="AA255" s="5">
        <v>1</v>
      </c>
      <c r="AB255" s="5">
        <v>0</v>
      </c>
      <c r="AC255" s="5">
        <v>0</v>
      </c>
      <c r="AD255" s="56">
        <v>0</v>
      </c>
      <c r="AE255" s="53">
        <v>253</v>
      </c>
      <c r="AF255" s="142"/>
    </row>
    <row r="256" spans="1:32" ht="15">
      <c r="A256" s="47" t="s">
        <v>588</v>
      </c>
      <c r="B256" s="159" t="s">
        <v>589</v>
      </c>
      <c r="C256" s="38" t="s">
        <v>41</v>
      </c>
      <c r="D256" s="31" t="s">
        <v>565</v>
      </c>
      <c r="E256" s="4" t="s">
        <v>83</v>
      </c>
      <c r="F256" s="4">
        <v>3</v>
      </c>
      <c r="G256" s="4">
        <v>1</v>
      </c>
      <c r="H256" s="4" t="s">
        <v>84</v>
      </c>
      <c r="I256" s="24" t="str">
        <f t="shared" si="18"/>
        <v>S2.020.220</v>
      </c>
      <c r="J256" s="31"/>
      <c r="K256" s="4"/>
      <c r="L256" s="4"/>
      <c r="M256" s="16">
        <v>1</v>
      </c>
      <c r="N256" s="5">
        <v>1</v>
      </c>
      <c r="O256" s="5"/>
      <c r="P256" s="5">
        <v>0</v>
      </c>
      <c r="Q256" s="5">
        <v>1</v>
      </c>
      <c r="R256" s="5">
        <v>0</v>
      </c>
      <c r="S256" s="5">
        <v>1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5</v>
      </c>
      <c r="Z256" s="5">
        <v>0</v>
      </c>
      <c r="AA256" s="5">
        <v>5</v>
      </c>
      <c r="AB256" s="5">
        <v>0</v>
      </c>
      <c r="AC256" s="5">
        <v>0</v>
      </c>
      <c r="AD256" s="56">
        <v>0</v>
      </c>
      <c r="AE256" s="53">
        <v>254</v>
      </c>
      <c r="AF256" s="142"/>
    </row>
    <row r="257" spans="1:32" ht="15">
      <c r="A257" s="47" t="s">
        <v>590</v>
      </c>
      <c r="B257" s="4" t="s">
        <v>591</v>
      </c>
      <c r="C257" s="38" t="s">
        <v>41</v>
      </c>
      <c r="D257" s="31" t="s">
        <v>565</v>
      </c>
      <c r="E257" s="4" t="s">
        <v>83</v>
      </c>
      <c r="F257" s="4">
        <v>3</v>
      </c>
      <c r="G257" s="4">
        <v>1</v>
      </c>
      <c r="H257" s="4" t="s">
        <v>84</v>
      </c>
      <c r="I257" s="24" t="str">
        <f t="shared" si="18"/>
        <v>S2.020.228</v>
      </c>
      <c r="J257" s="31"/>
      <c r="K257" s="4"/>
      <c r="L257" s="4"/>
      <c r="M257" s="16">
        <v>1</v>
      </c>
      <c r="N257" s="5">
        <v>1</v>
      </c>
      <c r="O257" s="5"/>
      <c r="P257" s="5">
        <v>0</v>
      </c>
      <c r="Q257" s="5">
        <v>1</v>
      </c>
      <c r="R257" s="5">
        <v>0</v>
      </c>
      <c r="S257" s="5">
        <v>1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5</v>
      </c>
      <c r="Z257" s="5">
        <v>0</v>
      </c>
      <c r="AA257" s="5">
        <v>5</v>
      </c>
      <c r="AB257" s="5">
        <v>0</v>
      </c>
      <c r="AC257" s="5">
        <v>0</v>
      </c>
      <c r="AD257" s="56">
        <v>0</v>
      </c>
      <c r="AE257" s="20">
        <v>255</v>
      </c>
      <c r="AF257" s="142"/>
    </row>
    <row r="258" spans="1:32" ht="15" customHeight="1">
      <c r="A258" s="47" t="s">
        <v>592</v>
      </c>
      <c r="B258" s="90" t="s">
        <v>593</v>
      </c>
      <c r="C258" s="38" t="s">
        <v>41</v>
      </c>
      <c r="D258" s="31" t="s">
        <v>565</v>
      </c>
      <c r="E258" s="4" t="s">
        <v>95</v>
      </c>
      <c r="F258" s="4">
        <v>3</v>
      </c>
      <c r="G258" s="4">
        <v>1</v>
      </c>
      <c r="H258" s="4" t="s">
        <v>96</v>
      </c>
      <c r="I258" s="24" t="str">
        <f t="shared" si="18"/>
        <v>S3.020.312</v>
      </c>
      <c r="J258" s="31"/>
      <c r="K258" s="4"/>
      <c r="L258" s="4"/>
      <c r="M258" s="16">
        <v>1</v>
      </c>
      <c r="N258" s="5">
        <v>1</v>
      </c>
      <c r="O258" s="5"/>
      <c r="P258" s="5">
        <v>0</v>
      </c>
      <c r="Q258" s="5">
        <v>1</v>
      </c>
      <c r="R258" s="5">
        <v>0</v>
      </c>
      <c r="S258" s="5">
        <v>1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1</v>
      </c>
      <c r="Z258" s="5">
        <v>0</v>
      </c>
      <c r="AA258" s="5">
        <v>1</v>
      </c>
      <c r="AB258" s="5">
        <v>0</v>
      </c>
      <c r="AC258" s="5">
        <v>0</v>
      </c>
      <c r="AD258" s="56">
        <v>0</v>
      </c>
      <c r="AE258" s="20">
        <v>256</v>
      </c>
      <c r="AF258" s="142"/>
    </row>
    <row r="259" spans="1:32" ht="15" customHeight="1">
      <c r="A259" s="47" t="s">
        <v>594</v>
      </c>
      <c r="B259" s="90" t="s">
        <v>595</v>
      </c>
      <c r="C259" s="38" t="s">
        <v>41</v>
      </c>
      <c r="D259" s="31" t="s">
        <v>565</v>
      </c>
      <c r="E259" s="4" t="s">
        <v>95</v>
      </c>
      <c r="F259" s="4">
        <v>3</v>
      </c>
      <c r="G259" s="10">
        <v>1</v>
      </c>
      <c r="H259" s="4" t="s">
        <v>96</v>
      </c>
      <c r="I259" s="24" t="str">
        <f t="shared" si="18"/>
        <v>S3.020.320</v>
      </c>
      <c r="J259" s="31"/>
      <c r="K259" s="4"/>
      <c r="L259" s="4"/>
      <c r="M259" s="16">
        <v>1</v>
      </c>
      <c r="N259" s="5">
        <v>1</v>
      </c>
      <c r="O259" s="5"/>
      <c r="P259" s="5">
        <v>0</v>
      </c>
      <c r="Q259" s="5">
        <v>1</v>
      </c>
      <c r="R259" s="5">
        <v>0</v>
      </c>
      <c r="S259" s="5">
        <v>1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5</v>
      </c>
      <c r="Z259" s="5">
        <v>0</v>
      </c>
      <c r="AA259" s="5">
        <v>5</v>
      </c>
      <c r="AB259" s="5">
        <v>0</v>
      </c>
      <c r="AC259" s="5">
        <v>0</v>
      </c>
      <c r="AD259" s="56">
        <v>0</v>
      </c>
      <c r="AE259" s="53">
        <v>257</v>
      </c>
      <c r="AF259" s="142"/>
    </row>
    <row r="260" spans="1:32" ht="15" customHeight="1">
      <c r="A260" s="47" t="s">
        <v>596</v>
      </c>
      <c r="B260" s="90" t="s">
        <v>597</v>
      </c>
      <c r="C260" s="38" t="s">
        <v>41</v>
      </c>
      <c r="D260" s="31" t="s">
        <v>565</v>
      </c>
      <c r="E260" s="4" t="s">
        <v>95</v>
      </c>
      <c r="F260" s="4">
        <v>3</v>
      </c>
      <c r="G260" s="4">
        <v>1</v>
      </c>
      <c r="H260" s="4" t="s">
        <v>96</v>
      </c>
      <c r="I260" s="24" t="str">
        <f t="shared" si="18"/>
        <v>S3.020.328</v>
      </c>
      <c r="J260" s="31"/>
      <c r="K260" s="4"/>
      <c r="L260" s="4"/>
      <c r="M260" s="16">
        <v>1</v>
      </c>
      <c r="N260" s="5">
        <v>1</v>
      </c>
      <c r="O260" s="5"/>
      <c r="P260" s="5">
        <v>0</v>
      </c>
      <c r="Q260" s="5">
        <v>1</v>
      </c>
      <c r="R260" s="5">
        <v>0</v>
      </c>
      <c r="S260" s="5">
        <v>1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5</v>
      </c>
      <c r="Z260" s="5">
        <v>0</v>
      </c>
      <c r="AA260" s="5">
        <v>5</v>
      </c>
      <c r="AB260" s="5">
        <v>0</v>
      </c>
      <c r="AC260" s="5">
        <v>0</v>
      </c>
      <c r="AD260" s="56">
        <v>0</v>
      </c>
      <c r="AE260" s="53">
        <v>258</v>
      </c>
      <c r="AF260" s="142"/>
    </row>
    <row r="261" spans="1:32" ht="15">
      <c r="A261" s="47" t="s">
        <v>598</v>
      </c>
      <c r="B261" s="4" t="s">
        <v>599</v>
      </c>
      <c r="C261" s="38" t="s">
        <v>41</v>
      </c>
      <c r="D261" s="31" t="s">
        <v>565</v>
      </c>
      <c r="E261" s="4" t="s">
        <v>107</v>
      </c>
      <c r="F261" s="4">
        <v>3</v>
      </c>
      <c r="G261" s="4">
        <v>1</v>
      </c>
      <c r="H261" s="4" t="s">
        <v>108</v>
      </c>
      <c r="I261" s="24" t="str">
        <f t="shared" si="18"/>
        <v>S4.020.412</v>
      </c>
      <c r="J261" s="31"/>
      <c r="K261" s="4"/>
      <c r="L261" s="4"/>
      <c r="M261" s="16">
        <v>1</v>
      </c>
      <c r="N261" s="5">
        <v>1</v>
      </c>
      <c r="O261" s="5"/>
      <c r="P261" s="5">
        <v>0</v>
      </c>
      <c r="Q261" s="5">
        <v>1</v>
      </c>
      <c r="R261" s="5">
        <v>0</v>
      </c>
      <c r="S261" s="5">
        <v>1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1</v>
      </c>
      <c r="Z261" s="5">
        <v>0</v>
      </c>
      <c r="AA261" s="5">
        <v>1</v>
      </c>
      <c r="AB261" s="5">
        <v>0</v>
      </c>
      <c r="AC261" s="5">
        <v>0</v>
      </c>
      <c r="AD261" s="56">
        <v>0</v>
      </c>
      <c r="AE261" s="53">
        <v>259</v>
      </c>
      <c r="AF261" s="142"/>
    </row>
    <row r="262" spans="1:32" ht="15">
      <c r="A262" s="47" t="s">
        <v>600</v>
      </c>
      <c r="B262" s="4" t="s">
        <v>601</v>
      </c>
      <c r="C262" s="38" t="s">
        <v>41</v>
      </c>
      <c r="D262" s="31" t="s">
        <v>565</v>
      </c>
      <c r="E262" s="4" t="s">
        <v>107</v>
      </c>
      <c r="F262" s="4">
        <v>3</v>
      </c>
      <c r="G262" s="4">
        <v>1</v>
      </c>
      <c r="H262" s="4" t="s">
        <v>108</v>
      </c>
      <c r="I262" s="24" t="str">
        <f t="shared" si="18"/>
        <v>S4.020.420</v>
      </c>
      <c r="J262" s="31"/>
      <c r="K262" s="4"/>
      <c r="L262" s="4"/>
      <c r="M262" s="16">
        <v>1</v>
      </c>
      <c r="N262" s="5">
        <v>1</v>
      </c>
      <c r="O262" s="5"/>
      <c r="P262" s="5">
        <v>0</v>
      </c>
      <c r="Q262" s="5">
        <v>1</v>
      </c>
      <c r="R262" s="5">
        <v>0</v>
      </c>
      <c r="S262" s="5">
        <v>1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5</v>
      </c>
      <c r="Z262" s="5">
        <v>0</v>
      </c>
      <c r="AA262" s="5">
        <v>5</v>
      </c>
      <c r="AB262" s="5">
        <v>0</v>
      </c>
      <c r="AC262" s="5">
        <v>0</v>
      </c>
      <c r="AD262" s="56">
        <v>0</v>
      </c>
      <c r="AE262" s="20">
        <v>260</v>
      </c>
      <c r="AF262" s="142"/>
    </row>
    <row r="263" spans="1:32" ht="15">
      <c r="A263" s="47" t="s">
        <v>602</v>
      </c>
      <c r="B263" s="4" t="s">
        <v>603</v>
      </c>
      <c r="C263" s="38" t="s">
        <v>41</v>
      </c>
      <c r="D263" s="31" t="s">
        <v>565</v>
      </c>
      <c r="E263" s="4" t="s">
        <v>107</v>
      </c>
      <c r="F263" s="4">
        <v>3</v>
      </c>
      <c r="G263" s="4">
        <v>1</v>
      </c>
      <c r="H263" s="4" t="s">
        <v>108</v>
      </c>
      <c r="I263" s="24" t="str">
        <f t="shared" si="18"/>
        <v>S4.020.428</v>
      </c>
      <c r="J263" s="31"/>
      <c r="K263" s="4"/>
      <c r="L263" s="4"/>
      <c r="M263" s="16">
        <v>1</v>
      </c>
      <c r="N263" s="5">
        <v>1</v>
      </c>
      <c r="O263" s="5"/>
      <c r="P263" s="5">
        <v>0</v>
      </c>
      <c r="Q263" s="5">
        <v>1</v>
      </c>
      <c r="R263" s="5">
        <v>0</v>
      </c>
      <c r="S263" s="5">
        <v>1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5</v>
      </c>
      <c r="Z263" s="5">
        <v>0</v>
      </c>
      <c r="AA263" s="5">
        <v>5</v>
      </c>
      <c r="AB263" s="5">
        <v>0</v>
      </c>
      <c r="AC263" s="5">
        <v>0</v>
      </c>
      <c r="AD263" s="56">
        <v>0</v>
      </c>
      <c r="AE263" s="20">
        <v>261</v>
      </c>
      <c r="AF263" s="142"/>
    </row>
    <row r="264" spans="1:32" ht="15">
      <c r="A264" s="47" t="s">
        <v>604</v>
      </c>
      <c r="B264" s="4" t="s">
        <v>605</v>
      </c>
      <c r="C264" s="38" t="s">
        <v>41</v>
      </c>
      <c r="D264" s="31" t="s">
        <v>565</v>
      </c>
      <c r="E264" s="4" t="s">
        <v>119</v>
      </c>
      <c r="F264" s="4">
        <v>3</v>
      </c>
      <c r="G264" s="10">
        <v>1</v>
      </c>
      <c r="H264" s="4" t="s">
        <v>120</v>
      </c>
      <c r="I264" s="24" t="str">
        <f t="shared" si="18"/>
        <v>S5.020.512</v>
      </c>
      <c r="J264" s="31"/>
      <c r="K264" s="4"/>
      <c r="L264" s="4"/>
      <c r="M264" s="16">
        <v>1</v>
      </c>
      <c r="N264" s="5">
        <v>1</v>
      </c>
      <c r="O264" s="5"/>
      <c r="P264" s="5">
        <v>0</v>
      </c>
      <c r="Q264" s="5">
        <v>1</v>
      </c>
      <c r="R264" s="5">
        <v>0</v>
      </c>
      <c r="S264" s="5">
        <v>1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1</v>
      </c>
      <c r="Z264" s="5">
        <v>0</v>
      </c>
      <c r="AA264" s="5">
        <v>1</v>
      </c>
      <c r="AB264" s="5">
        <v>0</v>
      </c>
      <c r="AC264" s="5">
        <v>0</v>
      </c>
      <c r="AD264" s="56">
        <v>0</v>
      </c>
      <c r="AE264" s="53">
        <v>262</v>
      </c>
      <c r="AF264" s="142"/>
    </row>
    <row r="265" spans="1:32" ht="15">
      <c r="A265" s="47" t="s">
        <v>606</v>
      </c>
      <c r="B265" s="4" t="s">
        <v>607</v>
      </c>
      <c r="C265" s="38" t="s">
        <v>41</v>
      </c>
      <c r="D265" s="31" t="s">
        <v>565</v>
      </c>
      <c r="E265" s="4" t="s">
        <v>119</v>
      </c>
      <c r="F265" s="4">
        <v>3</v>
      </c>
      <c r="G265" s="4">
        <v>1</v>
      </c>
      <c r="H265" s="4" t="s">
        <v>120</v>
      </c>
      <c r="I265" s="24" t="str">
        <f t="shared" si="18"/>
        <v>S5.020.520</v>
      </c>
      <c r="J265" s="31"/>
      <c r="K265" s="4"/>
      <c r="L265" s="4"/>
      <c r="M265" s="16">
        <v>1</v>
      </c>
      <c r="N265" s="5">
        <v>1</v>
      </c>
      <c r="O265" s="5"/>
      <c r="P265" s="5">
        <v>0</v>
      </c>
      <c r="Q265" s="5">
        <v>1</v>
      </c>
      <c r="R265" s="5">
        <v>0</v>
      </c>
      <c r="S265" s="5">
        <v>1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5</v>
      </c>
      <c r="Z265" s="5">
        <v>0</v>
      </c>
      <c r="AA265" s="5">
        <v>5</v>
      </c>
      <c r="AB265" s="5">
        <v>0</v>
      </c>
      <c r="AC265" s="5">
        <v>0</v>
      </c>
      <c r="AD265" s="56">
        <v>0</v>
      </c>
      <c r="AE265" s="53">
        <v>263</v>
      </c>
      <c r="AF265" s="142"/>
    </row>
    <row r="266" spans="1:32" ht="15">
      <c r="A266" s="47" t="s">
        <v>608</v>
      </c>
      <c r="B266" s="4" t="s">
        <v>609</v>
      </c>
      <c r="C266" s="38" t="s">
        <v>41</v>
      </c>
      <c r="D266" s="31" t="s">
        <v>565</v>
      </c>
      <c r="E266" s="4" t="s">
        <v>119</v>
      </c>
      <c r="F266" s="4">
        <v>3</v>
      </c>
      <c r="G266" s="4">
        <v>1</v>
      </c>
      <c r="H266" s="4" t="s">
        <v>120</v>
      </c>
      <c r="I266" s="24" t="str">
        <f t="shared" si="18"/>
        <v>S5.020.528</v>
      </c>
      <c r="J266" s="31"/>
      <c r="K266" s="4"/>
      <c r="L266" s="4"/>
      <c r="M266" s="16">
        <v>1</v>
      </c>
      <c r="N266" s="5">
        <v>1</v>
      </c>
      <c r="O266" s="5"/>
      <c r="P266" s="5">
        <v>0</v>
      </c>
      <c r="Q266" s="5">
        <v>1</v>
      </c>
      <c r="R266" s="5">
        <v>0</v>
      </c>
      <c r="S266" s="5">
        <v>1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5</v>
      </c>
      <c r="Z266" s="5">
        <v>0</v>
      </c>
      <c r="AA266" s="5">
        <v>5</v>
      </c>
      <c r="AB266" s="5">
        <v>0</v>
      </c>
      <c r="AC266" s="5">
        <v>0</v>
      </c>
      <c r="AD266" s="56">
        <v>0</v>
      </c>
      <c r="AE266" s="53">
        <v>264</v>
      </c>
      <c r="AF266" s="142"/>
    </row>
    <row r="267" spans="1:32" ht="15">
      <c r="A267" s="47" t="s">
        <v>610</v>
      </c>
      <c r="B267" s="4" t="s">
        <v>611</v>
      </c>
      <c r="C267" s="38" t="s">
        <v>41</v>
      </c>
      <c r="D267" s="31" t="s">
        <v>565</v>
      </c>
      <c r="E267" s="4" t="s">
        <v>131</v>
      </c>
      <c r="F267" s="4">
        <v>3</v>
      </c>
      <c r="G267" s="4">
        <v>1</v>
      </c>
      <c r="H267" s="4" t="s">
        <v>132</v>
      </c>
      <c r="I267" s="24" t="str">
        <f t="shared" si="18"/>
        <v>S6.020.612</v>
      </c>
      <c r="J267" s="31"/>
      <c r="K267" s="4"/>
      <c r="L267" s="4"/>
      <c r="M267" s="16">
        <v>1</v>
      </c>
      <c r="N267" s="5">
        <v>1</v>
      </c>
      <c r="O267" s="5"/>
      <c r="P267" s="5">
        <v>0</v>
      </c>
      <c r="Q267" s="5">
        <v>1</v>
      </c>
      <c r="R267" s="5">
        <v>0</v>
      </c>
      <c r="S267" s="5">
        <v>1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1</v>
      </c>
      <c r="Z267" s="5">
        <v>0</v>
      </c>
      <c r="AA267" s="5">
        <v>1</v>
      </c>
      <c r="AB267" s="5">
        <v>0</v>
      </c>
      <c r="AC267" s="5">
        <v>0</v>
      </c>
      <c r="AD267" s="56">
        <v>0</v>
      </c>
      <c r="AE267" s="20">
        <v>265</v>
      </c>
      <c r="AF267" s="142"/>
    </row>
    <row r="268" spans="1:32" ht="15">
      <c r="A268" s="47" t="s">
        <v>612</v>
      </c>
      <c r="B268" s="4" t="s">
        <v>613</v>
      </c>
      <c r="C268" s="38" t="s">
        <v>41</v>
      </c>
      <c r="D268" s="31" t="s">
        <v>565</v>
      </c>
      <c r="E268" s="4" t="s">
        <v>131</v>
      </c>
      <c r="F268" s="4">
        <v>3</v>
      </c>
      <c r="G268" s="4">
        <v>1</v>
      </c>
      <c r="H268" s="4" t="s">
        <v>132</v>
      </c>
      <c r="I268" s="24" t="str">
        <f t="shared" si="18"/>
        <v>S6.020.620</v>
      </c>
      <c r="J268" s="31"/>
      <c r="K268" s="4"/>
      <c r="L268" s="4"/>
      <c r="M268" s="16">
        <v>1</v>
      </c>
      <c r="N268" s="5">
        <v>1</v>
      </c>
      <c r="O268" s="5"/>
      <c r="P268" s="5">
        <v>0</v>
      </c>
      <c r="Q268" s="5">
        <v>1</v>
      </c>
      <c r="R268" s="5">
        <v>0</v>
      </c>
      <c r="S268" s="5">
        <v>1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5</v>
      </c>
      <c r="Z268" s="5">
        <v>0</v>
      </c>
      <c r="AA268" s="5">
        <v>5</v>
      </c>
      <c r="AB268" s="5">
        <v>0</v>
      </c>
      <c r="AC268" s="5">
        <v>0</v>
      </c>
      <c r="AD268" s="56">
        <v>0</v>
      </c>
      <c r="AE268" s="20">
        <v>266</v>
      </c>
      <c r="AF268" s="142"/>
    </row>
    <row r="269" spans="1:32" ht="15" customHeight="1">
      <c r="A269" s="47" t="s">
        <v>614</v>
      </c>
      <c r="B269" s="4" t="s">
        <v>615</v>
      </c>
      <c r="C269" s="38" t="s">
        <v>41</v>
      </c>
      <c r="D269" s="31" t="s">
        <v>565</v>
      </c>
      <c r="E269" s="4" t="s">
        <v>131</v>
      </c>
      <c r="F269" s="4">
        <v>3</v>
      </c>
      <c r="G269" s="10">
        <v>1</v>
      </c>
      <c r="H269" s="4" t="s">
        <v>132</v>
      </c>
      <c r="I269" s="24" t="str">
        <f t="shared" si="18"/>
        <v>S6.020.628</v>
      </c>
      <c r="J269" s="31"/>
      <c r="K269" s="4"/>
      <c r="L269" s="4"/>
      <c r="M269" s="16">
        <v>1</v>
      </c>
      <c r="N269" s="5">
        <v>1</v>
      </c>
      <c r="O269" s="5"/>
      <c r="P269" s="5">
        <v>0</v>
      </c>
      <c r="Q269" s="5">
        <v>1</v>
      </c>
      <c r="R269" s="5">
        <v>0</v>
      </c>
      <c r="S269" s="5">
        <v>1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5</v>
      </c>
      <c r="Z269" s="5">
        <v>0</v>
      </c>
      <c r="AA269" s="5">
        <v>5</v>
      </c>
      <c r="AB269" s="5">
        <v>0</v>
      </c>
      <c r="AC269" s="5">
        <v>0</v>
      </c>
      <c r="AD269" s="56">
        <v>0</v>
      </c>
      <c r="AE269" s="53">
        <v>267</v>
      </c>
      <c r="AF269" s="142"/>
    </row>
    <row r="270" spans="1:32" ht="15">
      <c r="A270" s="47" t="s">
        <v>616</v>
      </c>
      <c r="B270" s="4" t="s">
        <v>617</v>
      </c>
      <c r="C270" s="38" t="s">
        <v>41</v>
      </c>
      <c r="D270" s="31" t="s">
        <v>565</v>
      </c>
      <c r="E270" s="4" t="s">
        <v>143</v>
      </c>
      <c r="F270" s="4">
        <v>3</v>
      </c>
      <c r="G270" s="4">
        <v>1</v>
      </c>
      <c r="H270" s="4" t="s">
        <v>144</v>
      </c>
      <c r="I270" s="24" t="str">
        <f t="shared" si="18"/>
        <v>S7.020.712</v>
      </c>
      <c r="J270" s="31"/>
      <c r="K270" s="4"/>
      <c r="L270" s="4"/>
      <c r="M270" s="16">
        <v>1</v>
      </c>
      <c r="N270" s="5">
        <v>1</v>
      </c>
      <c r="O270" s="5"/>
      <c r="P270" s="5">
        <v>0</v>
      </c>
      <c r="Q270" s="5">
        <v>1</v>
      </c>
      <c r="R270" s="5">
        <v>0</v>
      </c>
      <c r="S270" s="5">
        <v>1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1</v>
      </c>
      <c r="Z270" s="5">
        <v>0</v>
      </c>
      <c r="AA270" s="5">
        <v>1</v>
      </c>
      <c r="AB270" s="5">
        <v>0</v>
      </c>
      <c r="AC270" s="5">
        <v>0</v>
      </c>
      <c r="AD270" s="56">
        <v>0</v>
      </c>
      <c r="AE270" s="53">
        <v>268</v>
      </c>
      <c r="AF270" s="142"/>
    </row>
    <row r="271" spans="1:32" ht="15" customHeight="1">
      <c r="A271" s="47" t="s">
        <v>618</v>
      </c>
      <c r="B271" s="4" t="s">
        <v>619</v>
      </c>
      <c r="C271" s="38" t="s">
        <v>41</v>
      </c>
      <c r="D271" s="31" t="s">
        <v>565</v>
      </c>
      <c r="E271" s="4" t="s">
        <v>143</v>
      </c>
      <c r="F271" s="4">
        <v>3</v>
      </c>
      <c r="G271" s="4">
        <v>1</v>
      </c>
      <c r="H271" s="4" t="s">
        <v>144</v>
      </c>
      <c r="I271" s="24" t="str">
        <f t="shared" si="18"/>
        <v>S7.020.720</v>
      </c>
      <c r="J271" s="31"/>
      <c r="K271" s="4"/>
      <c r="L271" s="4"/>
      <c r="M271" s="16">
        <v>1</v>
      </c>
      <c r="N271" s="5">
        <v>1</v>
      </c>
      <c r="O271" s="5"/>
      <c r="P271" s="5">
        <v>0</v>
      </c>
      <c r="Q271" s="5">
        <v>1</v>
      </c>
      <c r="R271" s="5">
        <v>0</v>
      </c>
      <c r="S271" s="5">
        <v>1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5</v>
      </c>
      <c r="Z271" s="5">
        <v>0</v>
      </c>
      <c r="AA271" s="5">
        <v>5</v>
      </c>
      <c r="AB271" s="5">
        <v>0</v>
      </c>
      <c r="AC271" s="5">
        <v>0</v>
      </c>
      <c r="AD271" s="56">
        <v>0</v>
      </c>
      <c r="AE271" s="53">
        <v>269</v>
      </c>
      <c r="AF271" s="142"/>
    </row>
    <row r="272" spans="1:32" ht="15">
      <c r="A272" s="47" t="s">
        <v>620</v>
      </c>
      <c r="B272" s="4" t="s">
        <v>621</v>
      </c>
      <c r="C272" s="38" t="s">
        <v>41</v>
      </c>
      <c r="D272" s="31" t="s">
        <v>565</v>
      </c>
      <c r="E272" s="4" t="s">
        <v>143</v>
      </c>
      <c r="F272" s="4">
        <v>3</v>
      </c>
      <c r="G272" s="4">
        <v>1</v>
      </c>
      <c r="H272" s="4" t="s">
        <v>144</v>
      </c>
      <c r="I272" s="24" t="str">
        <f t="shared" si="18"/>
        <v>S7.020.728</v>
      </c>
      <c r="J272" s="31"/>
      <c r="K272" s="4"/>
      <c r="L272" s="4"/>
      <c r="M272" s="16">
        <v>1</v>
      </c>
      <c r="N272" s="5">
        <v>1</v>
      </c>
      <c r="O272" s="5"/>
      <c r="P272" s="5">
        <v>0</v>
      </c>
      <c r="Q272" s="5">
        <v>1</v>
      </c>
      <c r="R272" s="5">
        <v>0</v>
      </c>
      <c r="S272" s="5">
        <v>1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5</v>
      </c>
      <c r="Z272" s="5">
        <v>0</v>
      </c>
      <c r="AA272" s="5">
        <v>5</v>
      </c>
      <c r="AB272" s="5">
        <v>0</v>
      </c>
      <c r="AC272" s="5">
        <v>0</v>
      </c>
      <c r="AD272" s="56">
        <v>0</v>
      </c>
      <c r="AE272" s="20">
        <v>270</v>
      </c>
      <c r="AF272" s="142"/>
    </row>
    <row r="273" spans="1:32" ht="15">
      <c r="A273" s="47" t="s">
        <v>622</v>
      </c>
      <c r="B273" s="4" t="s">
        <v>623</v>
      </c>
      <c r="C273" s="38" t="s">
        <v>41</v>
      </c>
      <c r="D273" s="31" t="s">
        <v>565</v>
      </c>
      <c r="E273" s="4" t="s">
        <v>155</v>
      </c>
      <c r="F273" s="4">
        <v>3</v>
      </c>
      <c r="G273" s="4">
        <v>1</v>
      </c>
      <c r="H273" s="4" t="s">
        <v>156</v>
      </c>
      <c r="I273" s="24" t="str">
        <f t="shared" si="18"/>
        <v>S8.020.812</v>
      </c>
      <c r="J273" s="31"/>
      <c r="K273" s="4"/>
      <c r="L273" s="4"/>
      <c r="M273" s="16">
        <v>1</v>
      </c>
      <c r="N273" s="5">
        <v>1</v>
      </c>
      <c r="O273" s="5"/>
      <c r="P273" s="5">
        <v>0</v>
      </c>
      <c r="Q273" s="5">
        <v>1</v>
      </c>
      <c r="R273" s="5">
        <v>0</v>
      </c>
      <c r="S273" s="5">
        <v>1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1</v>
      </c>
      <c r="Z273" s="5">
        <v>0</v>
      </c>
      <c r="AA273" s="5">
        <v>1</v>
      </c>
      <c r="AB273" s="5">
        <v>0</v>
      </c>
      <c r="AC273" s="5">
        <v>0</v>
      </c>
      <c r="AD273" s="56">
        <v>0</v>
      </c>
      <c r="AE273" s="20">
        <v>271</v>
      </c>
      <c r="AF273" s="142"/>
    </row>
    <row r="274" spans="1:32" ht="15">
      <c r="A274" s="47" t="s">
        <v>624</v>
      </c>
      <c r="B274" s="4" t="s">
        <v>625</v>
      </c>
      <c r="C274" s="38" t="s">
        <v>41</v>
      </c>
      <c r="D274" s="31" t="s">
        <v>565</v>
      </c>
      <c r="E274" s="4" t="s">
        <v>155</v>
      </c>
      <c r="F274" s="4">
        <v>3</v>
      </c>
      <c r="G274" s="10">
        <v>1</v>
      </c>
      <c r="H274" s="4" t="s">
        <v>156</v>
      </c>
      <c r="I274" s="24" t="str">
        <f t="shared" si="18"/>
        <v>S8.020.820</v>
      </c>
      <c r="J274" s="31"/>
      <c r="K274" s="4"/>
      <c r="L274" s="4"/>
      <c r="M274" s="16">
        <v>1</v>
      </c>
      <c r="N274" s="5">
        <v>1</v>
      </c>
      <c r="O274" s="5"/>
      <c r="P274" s="5">
        <v>0</v>
      </c>
      <c r="Q274" s="5">
        <v>1</v>
      </c>
      <c r="R274" s="5">
        <v>0</v>
      </c>
      <c r="S274" s="5">
        <v>1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5</v>
      </c>
      <c r="Z274" s="5">
        <v>0</v>
      </c>
      <c r="AA274" s="5">
        <v>5</v>
      </c>
      <c r="AB274" s="5">
        <v>0</v>
      </c>
      <c r="AC274" s="5">
        <v>0</v>
      </c>
      <c r="AD274" s="56">
        <v>0</v>
      </c>
      <c r="AE274" s="53">
        <v>272</v>
      </c>
      <c r="AF274" s="142"/>
    </row>
    <row r="275" spans="1:32" ht="15">
      <c r="A275" s="47" t="s">
        <v>626</v>
      </c>
      <c r="B275" s="4" t="s">
        <v>627</v>
      </c>
      <c r="C275" s="38" t="s">
        <v>41</v>
      </c>
      <c r="D275" s="31" t="s">
        <v>565</v>
      </c>
      <c r="E275" s="4" t="s">
        <v>155</v>
      </c>
      <c r="F275" s="4">
        <v>3</v>
      </c>
      <c r="G275" s="4">
        <v>1</v>
      </c>
      <c r="H275" s="4" t="s">
        <v>156</v>
      </c>
      <c r="I275" s="24" t="str">
        <f t="shared" si="18"/>
        <v>S8.020.828</v>
      </c>
      <c r="J275" s="31"/>
      <c r="K275" s="4"/>
      <c r="L275" s="4"/>
      <c r="M275" s="16">
        <v>1</v>
      </c>
      <c r="N275" s="5">
        <v>1</v>
      </c>
      <c r="O275" s="5"/>
      <c r="P275" s="5">
        <v>0</v>
      </c>
      <c r="Q275" s="5">
        <v>1</v>
      </c>
      <c r="R275" s="5">
        <v>0</v>
      </c>
      <c r="S275" s="5">
        <v>1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5</v>
      </c>
      <c r="Z275" s="5">
        <v>0</v>
      </c>
      <c r="AA275" s="5">
        <v>5</v>
      </c>
      <c r="AB275" s="5">
        <v>0</v>
      </c>
      <c r="AC275" s="5">
        <v>0</v>
      </c>
      <c r="AD275" s="56">
        <v>0</v>
      </c>
      <c r="AE275" s="53">
        <v>273</v>
      </c>
      <c r="AF275" s="142"/>
    </row>
    <row r="276" spans="1:32" ht="15">
      <c r="A276" s="153" t="s">
        <v>628</v>
      </c>
      <c r="B276" s="162"/>
      <c r="C276" s="166"/>
      <c r="D276" s="171"/>
      <c r="E276" s="162"/>
      <c r="F276" s="162"/>
      <c r="G276" s="162"/>
      <c r="H276" s="19"/>
      <c r="I276" s="19"/>
      <c r="J276" s="171"/>
      <c r="K276" s="19"/>
      <c r="L276" s="19"/>
      <c r="M276" s="182">
        <f>SUM(M277:M284)</f>
        <v>8</v>
      </c>
      <c r="N276" s="186">
        <f>SUM(N277:N284)</f>
        <v>16</v>
      </c>
      <c r="O276" s="186"/>
      <c r="P276" s="186">
        <f t="shared" ref="P276:AD276" si="19">SUM(P277:P284)</f>
        <v>0</v>
      </c>
      <c r="Q276" s="91">
        <f t="shared" si="19"/>
        <v>16</v>
      </c>
      <c r="R276" s="186">
        <f t="shared" si="19"/>
        <v>0</v>
      </c>
      <c r="S276" s="186">
        <f t="shared" si="19"/>
        <v>0</v>
      </c>
      <c r="T276" s="186">
        <f t="shared" si="19"/>
        <v>0</v>
      </c>
      <c r="U276" s="186">
        <f t="shared" si="19"/>
        <v>0</v>
      </c>
      <c r="V276" s="186">
        <f t="shared" si="19"/>
        <v>0</v>
      </c>
      <c r="W276" s="186">
        <f t="shared" si="19"/>
        <v>0</v>
      </c>
      <c r="X276" s="186">
        <f t="shared" si="19"/>
        <v>48</v>
      </c>
      <c r="Y276" s="186">
        <f t="shared" si="19"/>
        <v>0</v>
      </c>
      <c r="Z276" s="186">
        <f t="shared" si="19"/>
        <v>0</v>
      </c>
      <c r="AA276" s="186">
        <f t="shared" si="19"/>
        <v>24</v>
      </c>
      <c r="AB276" s="186">
        <f t="shared" si="19"/>
        <v>80</v>
      </c>
      <c r="AC276" s="186">
        <f t="shared" si="19"/>
        <v>8</v>
      </c>
      <c r="AD276" s="195">
        <f t="shared" si="19"/>
        <v>0</v>
      </c>
      <c r="AE276" s="53">
        <v>274</v>
      </c>
      <c r="AF276" s="142"/>
    </row>
    <row r="277" spans="1:32" ht="15">
      <c r="A277" s="46" t="s">
        <v>629</v>
      </c>
      <c r="B277" s="10" t="s">
        <v>630</v>
      </c>
      <c r="C277" s="38" t="s">
        <v>41</v>
      </c>
      <c r="D277" s="31" t="s">
        <v>631</v>
      </c>
      <c r="E277" s="4" t="s">
        <v>71</v>
      </c>
      <c r="F277" s="10">
        <v>2</v>
      </c>
      <c r="G277" s="10">
        <v>1</v>
      </c>
      <c r="H277" s="4" t="s">
        <v>72</v>
      </c>
      <c r="I277" s="24" t="str">
        <f t="shared" ref="I277:I284" si="20">A277</f>
        <v>S1.020.100</v>
      </c>
      <c r="J277" s="31"/>
      <c r="K277" s="4"/>
      <c r="L277" s="4"/>
      <c r="M277" s="15">
        <v>1</v>
      </c>
      <c r="N277" s="11">
        <v>2</v>
      </c>
      <c r="O277" s="11"/>
      <c r="P277" s="11">
        <v>0</v>
      </c>
      <c r="Q277" s="11">
        <v>2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6</v>
      </c>
      <c r="Y277" s="11">
        <v>0</v>
      </c>
      <c r="Z277" s="11">
        <v>0</v>
      </c>
      <c r="AA277" s="11">
        <v>3</v>
      </c>
      <c r="AB277" s="11">
        <v>10</v>
      </c>
      <c r="AC277" s="11">
        <v>1</v>
      </c>
      <c r="AD277" s="55">
        <v>0</v>
      </c>
      <c r="AE277" s="20">
        <v>275</v>
      </c>
      <c r="AF277" s="142"/>
    </row>
    <row r="278" spans="1:32" ht="15">
      <c r="A278" s="47" t="s">
        <v>632</v>
      </c>
      <c r="B278" s="4" t="s">
        <v>633</v>
      </c>
      <c r="C278" s="38" t="s">
        <v>41</v>
      </c>
      <c r="D278" s="31" t="s">
        <v>631</v>
      </c>
      <c r="E278" s="4" t="s">
        <v>83</v>
      </c>
      <c r="F278" s="10">
        <v>2</v>
      </c>
      <c r="G278" s="10">
        <v>1</v>
      </c>
      <c r="H278" s="4" t="s">
        <v>84</v>
      </c>
      <c r="I278" s="24" t="str">
        <f t="shared" si="20"/>
        <v>S2.020.200</v>
      </c>
      <c r="J278" s="31"/>
      <c r="K278" s="4"/>
      <c r="L278" s="4"/>
      <c r="M278" s="16">
        <v>1</v>
      </c>
      <c r="N278" s="5">
        <v>2</v>
      </c>
      <c r="O278" s="5"/>
      <c r="P278" s="5">
        <v>0</v>
      </c>
      <c r="Q278" s="5">
        <v>2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6</v>
      </c>
      <c r="Y278" s="5">
        <v>0</v>
      </c>
      <c r="Z278" s="5">
        <v>0</v>
      </c>
      <c r="AA278" s="5">
        <v>3</v>
      </c>
      <c r="AB278" s="5">
        <v>10</v>
      </c>
      <c r="AC278" s="5">
        <v>1</v>
      </c>
      <c r="AD278" s="56">
        <v>0</v>
      </c>
      <c r="AE278" s="20">
        <v>276</v>
      </c>
      <c r="AF278" s="142"/>
    </row>
    <row r="279" spans="1:32" ht="15" customHeight="1">
      <c r="A279" s="47" t="s">
        <v>634</v>
      </c>
      <c r="B279" s="90" t="s">
        <v>635</v>
      </c>
      <c r="C279" s="38" t="s">
        <v>41</v>
      </c>
      <c r="D279" s="31" t="s">
        <v>631</v>
      </c>
      <c r="E279" s="4" t="s">
        <v>95</v>
      </c>
      <c r="F279" s="10">
        <v>2</v>
      </c>
      <c r="G279" s="10">
        <v>1</v>
      </c>
      <c r="H279" s="4" t="s">
        <v>96</v>
      </c>
      <c r="I279" s="24" t="str">
        <f t="shared" si="20"/>
        <v>S3.020.300</v>
      </c>
      <c r="J279" s="31"/>
      <c r="K279" s="4"/>
      <c r="L279" s="4"/>
      <c r="M279" s="16">
        <v>1</v>
      </c>
      <c r="N279" s="5">
        <v>2</v>
      </c>
      <c r="O279" s="5"/>
      <c r="P279" s="5">
        <v>0</v>
      </c>
      <c r="Q279" s="5">
        <v>2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6</v>
      </c>
      <c r="Y279" s="5">
        <v>0</v>
      </c>
      <c r="Z279" s="5">
        <v>0</v>
      </c>
      <c r="AA279" s="5">
        <v>3</v>
      </c>
      <c r="AB279" s="5">
        <v>10</v>
      </c>
      <c r="AC279" s="5">
        <v>1</v>
      </c>
      <c r="AD279" s="56">
        <v>0</v>
      </c>
      <c r="AE279" s="53">
        <v>277</v>
      </c>
      <c r="AF279" s="142"/>
    </row>
    <row r="280" spans="1:32" ht="15">
      <c r="A280" s="47" t="s">
        <v>636</v>
      </c>
      <c r="B280" s="4" t="s">
        <v>637</v>
      </c>
      <c r="C280" s="38" t="s">
        <v>41</v>
      </c>
      <c r="D280" s="31" t="s">
        <v>631</v>
      </c>
      <c r="E280" s="4" t="s">
        <v>107</v>
      </c>
      <c r="F280" s="10">
        <v>2</v>
      </c>
      <c r="G280" s="10">
        <v>1</v>
      </c>
      <c r="H280" s="4" t="s">
        <v>108</v>
      </c>
      <c r="I280" s="24" t="str">
        <f t="shared" si="20"/>
        <v>S4.020.400</v>
      </c>
      <c r="J280" s="31"/>
      <c r="K280" s="4"/>
      <c r="L280" s="4"/>
      <c r="M280" s="16">
        <v>1</v>
      </c>
      <c r="N280" s="5">
        <v>2</v>
      </c>
      <c r="O280" s="5"/>
      <c r="P280" s="5">
        <v>0</v>
      </c>
      <c r="Q280" s="5">
        <v>2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6</v>
      </c>
      <c r="Y280" s="5">
        <v>0</v>
      </c>
      <c r="Z280" s="5">
        <v>0</v>
      </c>
      <c r="AA280" s="5">
        <v>3</v>
      </c>
      <c r="AB280" s="5">
        <v>10</v>
      </c>
      <c r="AC280" s="5">
        <v>1</v>
      </c>
      <c r="AD280" s="56">
        <v>0</v>
      </c>
      <c r="AE280" s="53">
        <v>278</v>
      </c>
      <c r="AF280" s="142"/>
    </row>
    <row r="281" spans="1:32" ht="15">
      <c r="A281" s="47" t="s">
        <v>638</v>
      </c>
      <c r="B281" s="4" t="s">
        <v>639</v>
      </c>
      <c r="C281" s="38" t="s">
        <v>41</v>
      </c>
      <c r="D281" s="31" t="s">
        <v>631</v>
      </c>
      <c r="E281" s="4" t="s">
        <v>119</v>
      </c>
      <c r="F281" s="10">
        <v>2</v>
      </c>
      <c r="G281" s="10">
        <v>1</v>
      </c>
      <c r="H281" s="4" t="s">
        <v>120</v>
      </c>
      <c r="I281" s="24" t="str">
        <f t="shared" si="20"/>
        <v>S5.020.500</v>
      </c>
      <c r="J281" s="31"/>
      <c r="K281" s="4"/>
      <c r="L281" s="4"/>
      <c r="M281" s="16">
        <v>1</v>
      </c>
      <c r="N281" s="5">
        <v>2</v>
      </c>
      <c r="O281" s="5"/>
      <c r="P281" s="5">
        <v>0</v>
      </c>
      <c r="Q281" s="5">
        <v>2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6</v>
      </c>
      <c r="Y281" s="5">
        <v>0</v>
      </c>
      <c r="Z281" s="5">
        <v>0</v>
      </c>
      <c r="AA281" s="5">
        <v>3</v>
      </c>
      <c r="AB281" s="5">
        <v>10</v>
      </c>
      <c r="AC281" s="5">
        <v>1</v>
      </c>
      <c r="AD281" s="56">
        <v>0</v>
      </c>
      <c r="AE281" s="53">
        <v>279</v>
      </c>
      <c r="AF281" s="142"/>
    </row>
    <row r="282" spans="1:32" ht="15">
      <c r="A282" s="47" t="s">
        <v>640</v>
      </c>
      <c r="B282" s="4" t="s">
        <v>641</v>
      </c>
      <c r="C282" s="38" t="s">
        <v>41</v>
      </c>
      <c r="D282" s="31" t="s">
        <v>631</v>
      </c>
      <c r="E282" s="4" t="s">
        <v>131</v>
      </c>
      <c r="F282" s="10">
        <v>2</v>
      </c>
      <c r="G282" s="10">
        <v>1</v>
      </c>
      <c r="H282" s="4" t="s">
        <v>132</v>
      </c>
      <c r="I282" s="24" t="str">
        <f t="shared" si="20"/>
        <v>S6.020.600</v>
      </c>
      <c r="J282" s="31"/>
      <c r="K282" s="4"/>
      <c r="L282" s="4"/>
      <c r="M282" s="16">
        <v>1</v>
      </c>
      <c r="N282" s="5">
        <v>2</v>
      </c>
      <c r="O282" s="5"/>
      <c r="P282" s="5">
        <v>0</v>
      </c>
      <c r="Q282" s="5">
        <v>2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6</v>
      </c>
      <c r="Y282" s="5">
        <v>0</v>
      </c>
      <c r="Z282" s="5">
        <v>0</v>
      </c>
      <c r="AA282" s="5">
        <v>3</v>
      </c>
      <c r="AB282" s="5">
        <v>10</v>
      </c>
      <c r="AC282" s="5">
        <v>1</v>
      </c>
      <c r="AD282" s="56">
        <v>0</v>
      </c>
      <c r="AE282" s="20">
        <v>280</v>
      </c>
      <c r="AF282" s="142"/>
    </row>
    <row r="283" spans="1:32" ht="15">
      <c r="A283" s="47" t="s">
        <v>642</v>
      </c>
      <c r="B283" s="4" t="s">
        <v>643</v>
      </c>
      <c r="C283" s="38" t="s">
        <v>41</v>
      </c>
      <c r="D283" s="31" t="s">
        <v>631</v>
      </c>
      <c r="E283" s="4" t="s">
        <v>143</v>
      </c>
      <c r="F283" s="10">
        <v>2</v>
      </c>
      <c r="G283" s="10">
        <v>1</v>
      </c>
      <c r="H283" s="4" t="s">
        <v>144</v>
      </c>
      <c r="I283" s="24" t="str">
        <f t="shared" si="20"/>
        <v>S7.020.700</v>
      </c>
      <c r="J283" s="31"/>
      <c r="K283" s="4"/>
      <c r="L283" s="4"/>
      <c r="M283" s="16">
        <v>1</v>
      </c>
      <c r="N283" s="5">
        <v>2</v>
      </c>
      <c r="O283" s="5"/>
      <c r="P283" s="5">
        <v>0</v>
      </c>
      <c r="Q283" s="5">
        <v>2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6</v>
      </c>
      <c r="Y283" s="5">
        <v>0</v>
      </c>
      <c r="Z283" s="5">
        <v>0</v>
      </c>
      <c r="AA283" s="5">
        <v>3</v>
      </c>
      <c r="AB283" s="5">
        <v>10</v>
      </c>
      <c r="AC283" s="5">
        <v>1</v>
      </c>
      <c r="AD283" s="56">
        <v>0</v>
      </c>
      <c r="AE283" s="20">
        <v>281</v>
      </c>
      <c r="AF283" s="142"/>
    </row>
    <row r="284" spans="1:32" ht="15">
      <c r="A284" s="47" t="s">
        <v>644</v>
      </c>
      <c r="B284" s="4" t="s">
        <v>645</v>
      </c>
      <c r="C284" s="38" t="s">
        <v>41</v>
      </c>
      <c r="D284" s="31" t="s">
        <v>631</v>
      </c>
      <c r="E284" s="4" t="s">
        <v>155</v>
      </c>
      <c r="F284" s="10">
        <v>2</v>
      </c>
      <c r="G284" s="10">
        <v>1</v>
      </c>
      <c r="H284" s="4" t="s">
        <v>156</v>
      </c>
      <c r="I284" s="24" t="str">
        <f t="shared" si="20"/>
        <v>S8.020.800</v>
      </c>
      <c r="J284" s="31"/>
      <c r="K284" s="4"/>
      <c r="L284" s="4"/>
      <c r="M284" s="16">
        <v>1</v>
      </c>
      <c r="N284" s="5">
        <v>2</v>
      </c>
      <c r="O284" s="5"/>
      <c r="P284" s="5">
        <v>0</v>
      </c>
      <c r="Q284" s="5">
        <v>2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6</v>
      </c>
      <c r="Y284" s="5">
        <v>0</v>
      </c>
      <c r="Z284" s="5">
        <v>0</v>
      </c>
      <c r="AA284" s="5">
        <v>3</v>
      </c>
      <c r="AB284" s="5">
        <v>10</v>
      </c>
      <c r="AC284" s="5">
        <v>1</v>
      </c>
      <c r="AD284" s="56">
        <v>0</v>
      </c>
      <c r="AE284" s="53">
        <v>282</v>
      </c>
      <c r="AF284" s="142"/>
    </row>
    <row r="285" spans="1:32" ht="15">
      <c r="A285" s="153" t="s">
        <v>646</v>
      </c>
      <c r="B285" s="162"/>
      <c r="C285" s="166"/>
      <c r="D285" s="171"/>
      <c r="E285" s="162"/>
      <c r="F285" s="162"/>
      <c r="G285" s="162"/>
      <c r="H285" s="19"/>
      <c r="I285" s="19"/>
      <c r="J285" s="171"/>
      <c r="K285" s="19"/>
      <c r="L285" s="19"/>
      <c r="M285" s="182">
        <f>SUM(M286:M287)</f>
        <v>2</v>
      </c>
      <c r="N285" s="186">
        <f>SUM(N286:N287)</f>
        <v>2</v>
      </c>
      <c r="O285" s="186"/>
      <c r="P285" s="186">
        <f t="shared" ref="P285:AD285" si="21">SUM(P286:P287)</f>
        <v>2</v>
      </c>
      <c r="Q285" s="91">
        <f t="shared" si="21"/>
        <v>0</v>
      </c>
      <c r="R285" s="186">
        <f t="shared" si="21"/>
        <v>0</v>
      </c>
      <c r="S285" s="186">
        <f t="shared" si="21"/>
        <v>0</v>
      </c>
      <c r="T285" s="186">
        <f t="shared" si="21"/>
        <v>4</v>
      </c>
      <c r="U285" s="186">
        <f t="shared" si="21"/>
        <v>2</v>
      </c>
      <c r="V285" s="186">
        <f t="shared" si="21"/>
        <v>0</v>
      </c>
      <c r="W285" s="186">
        <f t="shared" si="21"/>
        <v>0</v>
      </c>
      <c r="X285" s="186">
        <f t="shared" si="21"/>
        <v>0</v>
      </c>
      <c r="Y285" s="186">
        <f t="shared" si="21"/>
        <v>0</v>
      </c>
      <c r="Z285" s="186">
        <f t="shared" si="21"/>
        <v>4</v>
      </c>
      <c r="AA285" s="186">
        <f t="shared" si="21"/>
        <v>2</v>
      </c>
      <c r="AB285" s="186">
        <f t="shared" si="21"/>
        <v>0</v>
      </c>
      <c r="AC285" s="186">
        <f t="shared" si="21"/>
        <v>0</v>
      </c>
      <c r="AD285" s="195">
        <f t="shared" si="21"/>
        <v>0</v>
      </c>
      <c r="AE285" s="53">
        <v>283</v>
      </c>
      <c r="AF285" s="142"/>
    </row>
    <row r="286" spans="1:32" ht="15">
      <c r="A286" s="46" t="s">
        <v>647</v>
      </c>
      <c r="B286" s="10" t="s">
        <v>648</v>
      </c>
      <c r="C286" s="38" t="s">
        <v>649</v>
      </c>
      <c r="D286" s="31" t="s">
        <v>650</v>
      </c>
      <c r="E286" s="10" t="s">
        <v>43</v>
      </c>
      <c r="F286" s="10">
        <v>5</v>
      </c>
      <c r="G286" s="10">
        <v>2</v>
      </c>
      <c r="H286" s="4" t="s">
        <v>44</v>
      </c>
      <c r="I286" s="29" t="s">
        <v>651</v>
      </c>
      <c r="J286" s="31"/>
      <c r="K286" s="4"/>
      <c r="L286" s="4"/>
      <c r="M286" s="15">
        <v>1</v>
      </c>
      <c r="N286" s="11">
        <v>1</v>
      </c>
      <c r="O286" s="11"/>
      <c r="P286" s="11">
        <v>1</v>
      </c>
      <c r="Q286" s="5">
        <v>0</v>
      </c>
      <c r="R286" s="11">
        <v>0</v>
      </c>
      <c r="S286" s="11">
        <v>0</v>
      </c>
      <c r="T286" s="11">
        <v>2</v>
      </c>
      <c r="U286" s="11">
        <v>1</v>
      </c>
      <c r="V286" s="11">
        <v>0</v>
      </c>
      <c r="W286" s="11">
        <v>0</v>
      </c>
      <c r="X286" s="11">
        <v>0</v>
      </c>
      <c r="Y286" s="11">
        <v>0</v>
      </c>
      <c r="Z286" s="11">
        <v>2</v>
      </c>
      <c r="AA286" s="11">
        <v>1</v>
      </c>
      <c r="AB286" s="11">
        <v>0</v>
      </c>
      <c r="AC286" s="11">
        <v>0</v>
      </c>
      <c r="AD286" s="55">
        <v>0</v>
      </c>
      <c r="AE286" s="53">
        <v>284</v>
      </c>
      <c r="AF286" s="142"/>
    </row>
    <row r="287" spans="1:32" ht="15">
      <c r="A287" s="47" t="s">
        <v>652</v>
      </c>
      <c r="B287" s="4" t="s">
        <v>653</v>
      </c>
      <c r="C287" s="40" t="s">
        <v>649</v>
      </c>
      <c r="D287" s="34" t="s">
        <v>650</v>
      </c>
      <c r="E287" s="4" t="s">
        <v>57</v>
      </c>
      <c r="F287" s="4">
        <v>6</v>
      </c>
      <c r="G287" s="4">
        <v>2</v>
      </c>
      <c r="H287" s="4" t="s">
        <v>58</v>
      </c>
      <c r="I287" s="29" t="s">
        <v>654</v>
      </c>
      <c r="J287" s="34"/>
      <c r="K287" s="4"/>
      <c r="L287" s="4"/>
      <c r="M287" s="16">
        <v>1</v>
      </c>
      <c r="N287" s="5">
        <v>1</v>
      </c>
      <c r="O287" s="5"/>
      <c r="P287" s="5">
        <v>1</v>
      </c>
      <c r="Q287" s="5">
        <v>0</v>
      </c>
      <c r="R287" s="5">
        <v>0</v>
      </c>
      <c r="S287" s="5">
        <v>0</v>
      </c>
      <c r="T287" s="5">
        <v>2</v>
      </c>
      <c r="U287" s="5">
        <v>1</v>
      </c>
      <c r="V287" s="5">
        <v>0</v>
      </c>
      <c r="W287" s="5">
        <v>0</v>
      </c>
      <c r="X287" s="5">
        <v>0</v>
      </c>
      <c r="Y287" s="5">
        <v>0</v>
      </c>
      <c r="Z287" s="5">
        <v>2</v>
      </c>
      <c r="AA287" s="5">
        <v>1</v>
      </c>
      <c r="AB287" s="5">
        <v>0</v>
      </c>
      <c r="AC287" s="5">
        <v>0</v>
      </c>
      <c r="AD287" s="56">
        <v>0</v>
      </c>
      <c r="AE287" s="20">
        <v>285</v>
      </c>
      <c r="AF287" s="142"/>
    </row>
    <row r="288" spans="1:32" ht="15.75" customHeight="1">
      <c r="A288" s="153" t="s">
        <v>655</v>
      </c>
      <c r="B288" s="162"/>
      <c r="C288" s="166"/>
      <c r="D288" s="171"/>
      <c r="E288" s="162"/>
      <c r="F288" s="162"/>
      <c r="G288" s="162"/>
      <c r="H288" s="19"/>
      <c r="I288" s="19"/>
      <c r="J288" s="171"/>
      <c r="K288" s="19"/>
      <c r="L288" s="19"/>
      <c r="M288" s="182">
        <f>SUM(M289:M312)</f>
        <v>24</v>
      </c>
      <c r="N288" s="186">
        <f>SUM(N289:N312)</f>
        <v>24</v>
      </c>
      <c r="O288" s="186"/>
      <c r="P288" s="186">
        <f t="shared" ref="P288:AD288" si="22">SUM(P289:P312)</f>
        <v>24</v>
      </c>
      <c r="Q288" s="91">
        <f t="shared" si="22"/>
        <v>0</v>
      </c>
      <c r="R288" s="186">
        <f t="shared" si="22"/>
        <v>24</v>
      </c>
      <c r="S288" s="186">
        <f t="shared" si="22"/>
        <v>0</v>
      </c>
      <c r="T288" s="186">
        <f t="shared" si="22"/>
        <v>0</v>
      </c>
      <c r="U288" s="186">
        <f t="shared" si="22"/>
        <v>0</v>
      </c>
      <c r="V288" s="186">
        <f t="shared" si="22"/>
        <v>24</v>
      </c>
      <c r="W288" s="186">
        <f t="shared" si="22"/>
        <v>24</v>
      </c>
      <c r="X288" s="186">
        <f t="shared" si="22"/>
        <v>0</v>
      </c>
      <c r="Y288" s="186">
        <f t="shared" si="22"/>
        <v>0</v>
      </c>
      <c r="Z288" s="186">
        <f t="shared" si="22"/>
        <v>0</v>
      </c>
      <c r="AA288" s="186">
        <f t="shared" si="22"/>
        <v>24</v>
      </c>
      <c r="AB288" s="186">
        <f t="shared" si="22"/>
        <v>0</v>
      </c>
      <c r="AC288" s="186">
        <f t="shared" si="22"/>
        <v>0</v>
      </c>
      <c r="AD288" s="195">
        <f t="shared" si="22"/>
        <v>0</v>
      </c>
      <c r="AE288" s="20">
        <v>286</v>
      </c>
      <c r="AF288" s="142"/>
    </row>
    <row r="289" spans="1:32" ht="15.75" customHeight="1">
      <c r="A289" s="46" t="s">
        <v>656</v>
      </c>
      <c r="B289" s="10" t="s">
        <v>657</v>
      </c>
      <c r="C289" s="38" t="s">
        <v>41</v>
      </c>
      <c r="D289" s="31" t="s">
        <v>658</v>
      </c>
      <c r="E289" s="10" t="s">
        <v>43</v>
      </c>
      <c r="F289" s="10">
        <v>7</v>
      </c>
      <c r="G289" s="10">
        <v>2</v>
      </c>
      <c r="H289" s="4" t="s">
        <v>44</v>
      </c>
      <c r="I289" s="24" t="str">
        <f t="shared" ref="I289:I312" si="23">A289</f>
        <v>A1.030.028</v>
      </c>
      <c r="J289" s="31"/>
      <c r="K289" s="4"/>
      <c r="L289" s="4"/>
      <c r="M289" s="15">
        <v>1</v>
      </c>
      <c r="N289" s="11">
        <v>1</v>
      </c>
      <c r="O289" s="11"/>
      <c r="P289" s="11">
        <v>1</v>
      </c>
      <c r="Q289" s="5">
        <v>0</v>
      </c>
      <c r="R289" s="11">
        <v>1</v>
      </c>
      <c r="S289" s="11">
        <v>0</v>
      </c>
      <c r="T289" s="11">
        <v>0</v>
      </c>
      <c r="U289" s="11">
        <v>0</v>
      </c>
      <c r="V289" s="190">
        <v>1</v>
      </c>
      <c r="W289" s="11">
        <v>1</v>
      </c>
      <c r="X289" s="11">
        <v>0</v>
      </c>
      <c r="Y289" s="11">
        <v>0</v>
      </c>
      <c r="Z289" s="11">
        <v>0</v>
      </c>
      <c r="AA289" s="11">
        <v>1</v>
      </c>
      <c r="AB289" s="11">
        <v>0</v>
      </c>
      <c r="AC289" s="11">
        <v>0</v>
      </c>
      <c r="AD289" s="55">
        <v>0</v>
      </c>
      <c r="AE289" s="53">
        <v>287</v>
      </c>
      <c r="AF289" s="142"/>
    </row>
    <row r="290" spans="1:32" ht="15" customHeight="1">
      <c r="A290" s="47" t="s">
        <v>659</v>
      </c>
      <c r="B290" s="4" t="s">
        <v>660</v>
      </c>
      <c r="C290" s="38" t="s">
        <v>41</v>
      </c>
      <c r="D290" s="31" t="s">
        <v>658</v>
      </c>
      <c r="E290" s="10" t="s">
        <v>43</v>
      </c>
      <c r="F290" s="4">
        <v>7</v>
      </c>
      <c r="G290" s="4">
        <v>2</v>
      </c>
      <c r="H290" s="4" t="s">
        <v>44</v>
      </c>
      <c r="I290" s="24" t="str">
        <f t="shared" si="23"/>
        <v>A1.030.029</v>
      </c>
      <c r="J290" s="31"/>
      <c r="K290" s="4"/>
      <c r="L290" s="4"/>
      <c r="M290" s="16">
        <v>1</v>
      </c>
      <c r="N290" s="5">
        <v>1</v>
      </c>
      <c r="O290" s="5"/>
      <c r="P290" s="5">
        <v>1</v>
      </c>
      <c r="Q290" s="5">
        <v>0</v>
      </c>
      <c r="R290" s="5">
        <v>1</v>
      </c>
      <c r="S290" s="5">
        <v>0</v>
      </c>
      <c r="T290" s="5">
        <v>0</v>
      </c>
      <c r="U290" s="5">
        <v>0</v>
      </c>
      <c r="V290" s="6">
        <v>1</v>
      </c>
      <c r="W290" s="5">
        <v>1</v>
      </c>
      <c r="X290" s="5">
        <v>0</v>
      </c>
      <c r="Y290" s="5">
        <v>0</v>
      </c>
      <c r="Z290" s="5">
        <v>0</v>
      </c>
      <c r="AA290" s="5">
        <v>1</v>
      </c>
      <c r="AB290" s="5">
        <v>0</v>
      </c>
      <c r="AC290" s="5">
        <v>0</v>
      </c>
      <c r="AD290" s="56">
        <v>0</v>
      </c>
      <c r="AE290" s="53">
        <v>288</v>
      </c>
      <c r="AF290" s="142"/>
    </row>
    <row r="291" spans="1:32" ht="15" customHeight="1">
      <c r="A291" s="47" t="s">
        <v>661</v>
      </c>
      <c r="B291" s="4" t="s">
        <v>662</v>
      </c>
      <c r="C291" s="38" t="s">
        <v>41</v>
      </c>
      <c r="D291" s="31" t="s">
        <v>658</v>
      </c>
      <c r="E291" s="10" t="s">
        <v>43</v>
      </c>
      <c r="F291" s="4">
        <v>7</v>
      </c>
      <c r="G291" s="10">
        <v>2</v>
      </c>
      <c r="H291" s="4" t="s">
        <v>44</v>
      </c>
      <c r="I291" s="24" t="str">
        <f t="shared" si="23"/>
        <v>A1.030.030</v>
      </c>
      <c r="J291" s="31"/>
      <c r="K291" s="4"/>
      <c r="L291" s="4"/>
      <c r="M291" s="16">
        <v>1</v>
      </c>
      <c r="N291" s="5">
        <v>1</v>
      </c>
      <c r="O291" s="5"/>
      <c r="P291" s="5">
        <v>1</v>
      </c>
      <c r="Q291" s="5">
        <v>0</v>
      </c>
      <c r="R291" s="5">
        <v>1</v>
      </c>
      <c r="S291" s="5">
        <v>0</v>
      </c>
      <c r="T291" s="5">
        <v>0</v>
      </c>
      <c r="U291" s="5">
        <v>0</v>
      </c>
      <c r="V291" s="5">
        <v>1</v>
      </c>
      <c r="W291" s="5">
        <v>1</v>
      </c>
      <c r="X291" s="5">
        <v>0</v>
      </c>
      <c r="Y291" s="5">
        <v>0</v>
      </c>
      <c r="Z291" s="5">
        <v>0</v>
      </c>
      <c r="AA291" s="5">
        <v>1</v>
      </c>
      <c r="AB291" s="5">
        <v>0</v>
      </c>
      <c r="AC291" s="5">
        <v>0</v>
      </c>
      <c r="AD291" s="56">
        <v>0</v>
      </c>
      <c r="AE291" s="53">
        <v>289</v>
      </c>
      <c r="AF291" s="142"/>
    </row>
    <row r="292" spans="1:32" ht="15" customHeight="1">
      <c r="A292" s="47" t="s">
        <v>663</v>
      </c>
      <c r="B292" s="4" t="s">
        <v>664</v>
      </c>
      <c r="C292" s="38" t="s">
        <v>41</v>
      </c>
      <c r="D292" s="31" t="s">
        <v>658</v>
      </c>
      <c r="E292" s="10" t="s">
        <v>43</v>
      </c>
      <c r="F292" s="4">
        <v>5</v>
      </c>
      <c r="G292" s="4">
        <v>2</v>
      </c>
      <c r="H292" s="4" t="s">
        <v>44</v>
      </c>
      <c r="I292" s="24" t="str">
        <f t="shared" si="23"/>
        <v>A1.030.034</v>
      </c>
      <c r="J292" s="31"/>
      <c r="K292" s="4"/>
      <c r="L292" s="4"/>
      <c r="M292" s="16">
        <v>1</v>
      </c>
      <c r="N292" s="5">
        <v>1</v>
      </c>
      <c r="O292" s="5"/>
      <c r="P292" s="5">
        <v>1</v>
      </c>
      <c r="Q292" s="5">
        <v>0</v>
      </c>
      <c r="R292" s="5">
        <v>1</v>
      </c>
      <c r="S292" s="5">
        <v>0</v>
      </c>
      <c r="T292" s="5">
        <v>0</v>
      </c>
      <c r="U292" s="5">
        <v>0</v>
      </c>
      <c r="V292" s="5">
        <v>1</v>
      </c>
      <c r="W292" s="5">
        <v>1</v>
      </c>
      <c r="X292" s="5">
        <v>0</v>
      </c>
      <c r="Y292" s="5">
        <v>0</v>
      </c>
      <c r="Z292" s="5">
        <v>0</v>
      </c>
      <c r="AA292" s="5">
        <v>1</v>
      </c>
      <c r="AB292" s="5">
        <v>0</v>
      </c>
      <c r="AC292" s="5">
        <v>0</v>
      </c>
      <c r="AD292" s="56">
        <v>0</v>
      </c>
      <c r="AE292" s="20">
        <v>290</v>
      </c>
      <c r="AF292" s="142"/>
    </row>
    <row r="293" spans="1:32" ht="15">
      <c r="A293" s="47" t="s">
        <v>665</v>
      </c>
      <c r="B293" s="4" t="s">
        <v>666</v>
      </c>
      <c r="C293" s="38" t="s">
        <v>41</v>
      </c>
      <c r="D293" s="31" t="s">
        <v>658</v>
      </c>
      <c r="E293" s="10" t="s">
        <v>43</v>
      </c>
      <c r="F293" s="4">
        <v>5</v>
      </c>
      <c r="G293" s="10">
        <v>2</v>
      </c>
      <c r="H293" s="4" t="s">
        <v>44</v>
      </c>
      <c r="I293" s="24" t="str">
        <f t="shared" si="23"/>
        <v>A1.030.035</v>
      </c>
      <c r="J293" s="31"/>
      <c r="K293" s="4"/>
      <c r="L293" s="4"/>
      <c r="M293" s="16">
        <v>1</v>
      </c>
      <c r="N293" s="5">
        <v>1</v>
      </c>
      <c r="O293" s="5"/>
      <c r="P293" s="5">
        <v>1</v>
      </c>
      <c r="Q293" s="5">
        <v>0</v>
      </c>
      <c r="R293" s="5">
        <v>1</v>
      </c>
      <c r="S293" s="5">
        <v>0</v>
      </c>
      <c r="T293" s="5">
        <v>0</v>
      </c>
      <c r="U293" s="5">
        <v>0</v>
      </c>
      <c r="V293" s="5">
        <v>1</v>
      </c>
      <c r="W293" s="5">
        <v>1</v>
      </c>
      <c r="X293" s="5">
        <v>0</v>
      </c>
      <c r="Y293" s="5">
        <v>0</v>
      </c>
      <c r="Z293" s="5">
        <v>0</v>
      </c>
      <c r="AA293" s="5">
        <v>1</v>
      </c>
      <c r="AB293" s="5">
        <v>0</v>
      </c>
      <c r="AC293" s="5">
        <v>0</v>
      </c>
      <c r="AD293" s="56">
        <v>0</v>
      </c>
      <c r="AE293" s="20">
        <v>291</v>
      </c>
      <c r="AF293" s="142"/>
    </row>
    <row r="294" spans="1:32" ht="15">
      <c r="A294" s="47" t="s">
        <v>667</v>
      </c>
      <c r="B294" s="4" t="s">
        <v>668</v>
      </c>
      <c r="C294" s="38" t="s">
        <v>41</v>
      </c>
      <c r="D294" s="31" t="s">
        <v>658</v>
      </c>
      <c r="E294" s="10" t="s">
        <v>43</v>
      </c>
      <c r="F294" s="4">
        <v>5</v>
      </c>
      <c r="G294" s="4">
        <v>2</v>
      </c>
      <c r="H294" s="4" t="s">
        <v>44</v>
      </c>
      <c r="I294" s="24" t="str">
        <f t="shared" si="23"/>
        <v>A1.030.036</v>
      </c>
      <c r="J294" s="31"/>
      <c r="K294" s="4"/>
      <c r="L294" s="4"/>
      <c r="M294" s="16">
        <v>1</v>
      </c>
      <c r="N294" s="5">
        <v>1</v>
      </c>
      <c r="O294" s="5"/>
      <c r="P294" s="5">
        <v>1</v>
      </c>
      <c r="Q294" s="5">
        <v>0</v>
      </c>
      <c r="R294" s="5">
        <v>1</v>
      </c>
      <c r="S294" s="5">
        <v>0</v>
      </c>
      <c r="T294" s="5">
        <v>0</v>
      </c>
      <c r="U294" s="5">
        <v>0</v>
      </c>
      <c r="V294" s="5">
        <v>1</v>
      </c>
      <c r="W294" s="5">
        <v>1</v>
      </c>
      <c r="X294" s="5">
        <v>0</v>
      </c>
      <c r="Y294" s="5">
        <v>0</v>
      </c>
      <c r="Z294" s="5">
        <v>0</v>
      </c>
      <c r="AA294" s="5">
        <v>1</v>
      </c>
      <c r="AB294" s="5">
        <v>0</v>
      </c>
      <c r="AC294" s="5">
        <v>0</v>
      </c>
      <c r="AD294" s="56">
        <v>0</v>
      </c>
      <c r="AE294" s="53">
        <v>292</v>
      </c>
      <c r="AF294" s="142"/>
    </row>
    <row r="295" spans="1:32" ht="15">
      <c r="A295" s="47" t="s">
        <v>669</v>
      </c>
      <c r="B295" s="4" t="s">
        <v>670</v>
      </c>
      <c r="C295" s="38" t="s">
        <v>41</v>
      </c>
      <c r="D295" s="31" t="s">
        <v>658</v>
      </c>
      <c r="E295" s="10" t="s">
        <v>43</v>
      </c>
      <c r="F295" s="4">
        <v>5</v>
      </c>
      <c r="G295" s="10">
        <v>2</v>
      </c>
      <c r="H295" s="4" t="s">
        <v>44</v>
      </c>
      <c r="I295" s="24" t="str">
        <f t="shared" si="23"/>
        <v>A1.030.037</v>
      </c>
      <c r="J295" s="31"/>
      <c r="K295" s="4"/>
      <c r="L295" s="4"/>
      <c r="M295" s="16">
        <v>1</v>
      </c>
      <c r="N295" s="5">
        <v>1</v>
      </c>
      <c r="O295" s="5"/>
      <c r="P295" s="5">
        <v>1</v>
      </c>
      <c r="Q295" s="5">
        <v>0</v>
      </c>
      <c r="R295" s="5">
        <v>1</v>
      </c>
      <c r="S295" s="5">
        <v>0</v>
      </c>
      <c r="T295" s="5">
        <v>0</v>
      </c>
      <c r="U295" s="5">
        <v>0</v>
      </c>
      <c r="V295" s="5">
        <v>1</v>
      </c>
      <c r="W295" s="5">
        <v>1</v>
      </c>
      <c r="X295" s="5">
        <v>0</v>
      </c>
      <c r="Y295" s="5">
        <v>0</v>
      </c>
      <c r="Z295" s="5">
        <v>0</v>
      </c>
      <c r="AA295" s="5">
        <v>1</v>
      </c>
      <c r="AB295" s="5">
        <v>0</v>
      </c>
      <c r="AC295" s="5">
        <v>0</v>
      </c>
      <c r="AD295" s="56">
        <v>0</v>
      </c>
      <c r="AE295" s="53">
        <v>293</v>
      </c>
      <c r="AF295" s="142"/>
    </row>
    <row r="296" spans="1:32" ht="15">
      <c r="A296" s="47" t="s">
        <v>671</v>
      </c>
      <c r="B296" s="4" t="s">
        <v>672</v>
      </c>
      <c r="C296" s="38" t="s">
        <v>41</v>
      </c>
      <c r="D296" s="31" t="s">
        <v>658</v>
      </c>
      <c r="E296" s="10" t="s">
        <v>43</v>
      </c>
      <c r="F296" s="4">
        <v>5</v>
      </c>
      <c r="G296" s="4">
        <v>2</v>
      </c>
      <c r="H296" s="4" t="s">
        <v>44</v>
      </c>
      <c r="I296" s="24" t="str">
        <f t="shared" si="23"/>
        <v>A1.030.040</v>
      </c>
      <c r="J296" s="31"/>
      <c r="K296" s="4"/>
      <c r="L296" s="4"/>
      <c r="M296" s="16">
        <v>1</v>
      </c>
      <c r="N296" s="5">
        <v>1</v>
      </c>
      <c r="O296" s="5"/>
      <c r="P296" s="5">
        <v>1</v>
      </c>
      <c r="Q296" s="5">
        <v>0</v>
      </c>
      <c r="R296" s="5">
        <v>1</v>
      </c>
      <c r="S296" s="5">
        <v>0</v>
      </c>
      <c r="T296" s="5">
        <v>0</v>
      </c>
      <c r="U296" s="5">
        <v>0</v>
      </c>
      <c r="V296" s="5">
        <v>1</v>
      </c>
      <c r="W296" s="5">
        <v>1</v>
      </c>
      <c r="X296" s="5">
        <v>0</v>
      </c>
      <c r="Y296" s="5">
        <v>0</v>
      </c>
      <c r="Z296" s="5">
        <v>0</v>
      </c>
      <c r="AA296" s="5">
        <v>1</v>
      </c>
      <c r="AB296" s="5">
        <v>0</v>
      </c>
      <c r="AC296" s="5">
        <v>0</v>
      </c>
      <c r="AD296" s="56">
        <v>0</v>
      </c>
      <c r="AE296" s="53">
        <v>294</v>
      </c>
      <c r="AF296" s="142"/>
    </row>
    <row r="297" spans="1:32" ht="15">
      <c r="A297" s="47" t="s">
        <v>673</v>
      </c>
      <c r="B297" s="4" t="s">
        <v>674</v>
      </c>
      <c r="C297" s="38" t="s">
        <v>41</v>
      </c>
      <c r="D297" s="31" t="s">
        <v>658</v>
      </c>
      <c r="E297" s="10" t="s">
        <v>43</v>
      </c>
      <c r="F297" s="4">
        <v>5</v>
      </c>
      <c r="G297" s="10">
        <v>2</v>
      </c>
      <c r="H297" s="4" t="s">
        <v>44</v>
      </c>
      <c r="I297" s="24" t="str">
        <f t="shared" si="23"/>
        <v>A1.030.041</v>
      </c>
      <c r="J297" s="31"/>
      <c r="K297" s="4"/>
      <c r="L297" s="4"/>
      <c r="M297" s="16">
        <v>1</v>
      </c>
      <c r="N297" s="5">
        <v>1</v>
      </c>
      <c r="O297" s="5"/>
      <c r="P297" s="5">
        <v>1</v>
      </c>
      <c r="Q297" s="5">
        <v>0</v>
      </c>
      <c r="R297" s="5">
        <v>1</v>
      </c>
      <c r="S297" s="5">
        <v>0</v>
      </c>
      <c r="T297" s="5">
        <v>0</v>
      </c>
      <c r="U297" s="5">
        <v>0</v>
      </c>
      <c r="V297" s="5">
        <v>1</v>
      </c>
      <c r="W297" s="5">
        <v>1</v>
      </c>
      <c r="X297" s="5">
        <v>0</v>
      </c>
      <c r="Y297" s="5">
        <v>0</v>
      </c>
      <c r="Z297" s="5">
        <v>0</v>
      </c>
      <c r="AA297" s="5">
        <v>1</v>
      </c>
      <c r="AB297" s="5">
        <v>0</v>
      </c>
      <c r="AC297" s="5">
        <v>0</v>
      </c>
      <c r="AD297" s="56">
        <v>0</v>
      </c>
      <c r="AE297" s="20">
        <v>295</v>
      </c>
      <c r="AF297" s="142"/>
    </row>
    <row r="298" spans="1:32" ht="15">
      <c r="A298" s="47" t="s">
        <v>675</v>
      </c>
      <c r="B298" s="4" t="s">
        <v>676</v>
      </c>
      <c r="C298" s="38" t="s">
        <v>41</v>
      </c>
      <c r="D298" s="31" t="s">
        <v>658</v>
      </c>
      <c r="E298" s="10" t="s">
        <v>43</v>
      </c>
      <c r="F298" s="4">
        <v>5</v>
      </c>
      <c r="G298" s="4">
        <v>2</v>
      </c>
      <c r="H298" s="4" t="s">
        <v>44</v>
      </c>
      <c r="I298" s="24" t="str">
        <f t="shared" si="23"/>
        <v>A1.030.042</v>
      </c>
      <c r="J298" s="31"/>
      <c r="K298" s="4"/>
      <c r="L298" s="4"/>
      <c r="M298" s="16">
        <v>1</v>
      </c>
      <c r="N298" s="5">
        <v>1</v>
      </c>
      <c r="O298" s="5"/>
      <c r="P298" s="5">
        <v>1</v>
      </c>
      <c r="Q298" s="5">
        <v>0</v>
      </c>
      <c r="R298" s="5">
        <v>1</v>
      </c>
      <c r="S298" s="5">
        <v>0</v>
      </c>
      <c r="T298" s="5">
        <v>0</v>
      </c>
      <c r="U298" s="5">
        <v>0</v>
      </c>
      <c r="V298" s="5">
        <v>1</v>
      </c>
      <c r="W298" s="5">
        <v>1</v>
      </c>
      <c r="X298" s="5">
        <v>0</v>
      </c>
      <c r="Y298" s="5">
        <v>0</v>
      </c>
      <c r="Z298" s="5">
        <v>0</v>
      </c>
      <c r="AA298" s="5">
        <v>1</v>
      </c>
      <c r="AB298" s="5">
        <v>0</v>
      </c>
      <c r="AC298" s="5">
        <v>0</v>
      </c>
      <c r="AD298" s="56">
        <v>0</v>
      </c>
      <c r="AE298" s="20">
        <v>296</v>
      </c>
      <c r="AF298" s="142"/>
    </row>
    <row r="299" spans="1:32" ht="15">
      <c r="A299" s="47" t="s">
        <v>677</v>
      </c>
      <c r="B299" s="4" t="s">
        <v>678</v>
      </c>
      <c r="C299" s="38" t="s">
        <v>41</v>
      </c>
      <c r="D299" s="31" t="s">
        <v>658</v>
      </c>
      <c r="E299" s="10" t="s">
        <v>43</v>
      </c>
      <c r="F299" s="4">
        <v>6</v>
      </c>
      <c r="G299" s="10">
        <v>2</v>
      </c>
      <c r="H299" s="4" t="s">
        <v>44</v>
      </c>
      <c r="I299" s="24" t="str">
        <f t="shared" si="23"/>
        <v>A1.030.043</v>
      </c>
      <c r="J299" s="31"/>
      <c r="K299" s="4"/>
      <c r="L299" s="4"/>
      <c r="M299" s="16">
        <v>1</v>
      </c>
      <c r="N299" s="5">
        <v>1</v>
      </c>
      <c r="O299" s="5"/>
      <c r="P299" s="5">
        <v>1</v>
      </c>
      <c r="Q299" s="5">
        <v>0</v>
      </c>
      <c r="R299" s="5">
        <v>1</v>
      </c>
      <c r="S299" s="5">
        <v>0</v>
      </c>
      <c r="T299" s="5">
        <v>0</v>
      </c>
      <c r="U299" s="5">
        <v>0</v>
      </c>
      <c r="V299" s="5">
        <v>1</v>
      </c>
      <c r="W299" s="5">
        <v>1</v>
      </c>
      <c r="X299" s="5">
        <v>0</v>
      </c>
      <c r="Y299" s="5">
        <v>0</v>
      </c>
      <c r="Z299" s="5">
        <v>0</v>
      </c>
      <c r="AA299" s="5">
        <v>1</v>
      </c>
      <c r="AB299" s="5">
        <v>0</v>
      </c>
      <c r="AC299" s="5">
        <v>0</v>
      </c>
      <c r="AD299" s="56">
        <v>0</v>
      </c>
      <c r="AE299" s="53">
        <v>297</v>
      </c>
      <c r="AF299" s="142"/>
    </row>
    <row r="300" spans="1:32" ht="15">
      <c r="A300" s="47" t="s">
        <v>679</v>
      </c>
      <c r="B300" s="4" t="s">
        <v>680</v>
      </c>
      <c r="C300" s="38" t="s">
        <v>41</v>
      </c>
      <c r="D300" s="31" t="s">
        <v>658</v>
      </c>
      <c r="E300" s="10" t="s">
        <v>43</v>
      </c>
      <c r="F300" s="4">
        <v>6</v>
      </c>
      <c r="G300" s="4">
        <v>2</v>
      </c>
      <c r="H300" s="4" t="s">
        <v>44</v>
      </c>
      <c r="I300" s="24" t="str">
        <f t="shared" si="23"/>
        <v>A1.030.044</v>
      </c>
      <c r="J300" s="31"/>
      <c r="K300" s="4"/>
      <c r="L300" s="4"/>
      <c r="M300" s="16">
        <v>1</v>
      </c>
      <c r="N300" s="5">
        <v>1</v>
      </c>
      <c r="O300" s="5"/>
      <c r="P300" s="5">
        <v>1</v>
      </c>
      <c r="Q300" s="5">
        <v>0</v>
      </c>
      <c r="R300" s="5">
        <v>1</v>
      </c>
      <c r="S300" s="5">
        <v>0</v>
      </c>
      <c r="T300" s="5">
        <v>0</v>
      </c>
      <c r="U300" s="5">
        <v>0</v>
      </c>
      <c r="V300" s="5">
        <v>1</v>
      </c>
      <c r="W300" s="5">
        <v>1</v>
      </c>
      <c r="X300" s="5">
        <v>0</v>
      </c>
      <c r="Y300" s="5">
        <v>0</v>
      </c>
      <c r="Z300" s="5">
        <v>0</v>
      </c>
      <c r="AA300" s="5">
        <v>1</v>
      </c>
      <c r="AB300" s="5">
        <v>0</v>
      </c>
      <c r="AC300" s="5">
        <v>0</v>
      </c>
      <c r="AD300" s="56">
        <v>0</v>
      </c>
      <c r="AE300" s="53">
        <v>298</v>
      </c>
      <c r="AF300" s="142"/>
    </row>
    <row r="301" spans="1:32" ht="15">
      <c r="A301" s="47" t="s">
        <v>681</v>
      </c>
      <c r="B301" s="4" t="s">
        <v>682</v>
      </c>
      <c r="C301" s="38" t="s">
        <v>41</v>
      </c>
      <c r="D301" s="31" t="s">
        <v>658</v>
      </c>
      <c r="E301" s="10" t="s">
        <v>43</v>
      </c>
      <c r="F301" s="4">
        <v>6</v>
      </c>
      <c r="G301" s="10">
        <v>2</v>
      </c>
      <c r="H301" s="4" t="s">
        <v>44</v>
      </c>
      <c r="I301" s="24" t="str">
        <f t="shared" si="23"/>
        <v>A1.030.045</v>
      </c>
      <c r="J301" s="31"/>
      <c r="K301" s="4"/>
      <c r="L301" s="4"/>
      <c r="M301" s="16">
        <v>1</v>
      </c>
      <c r="N301" s="5">
        <v>1</v>
      </c>
      <c r="O301" s="5"/>
      <c r="P301" s="5">
        <v>1</v>
      </c>
      <c r="Q301" s="5">
        <v>0</v>
      </c>
      <c r="R301" s="5">
        <v>1</v>
      </c>
      <c r="S301" s="5">
        <v>0</v>
      </c>
      <c r="T301" s="5">
        <v>0</v>
      </c>
      <c r="U301" s="5">
        <v>0</v>
      </c>
      <c r="V301" s="5">
        <v>1</v>
      </c>
      <c r="W301" s="5">
        <v>1</v>
      </c>
      <c r="X301" s="5">
        <v>0</v>
      </c>
      <c r="Y301" s="5">
        <v>0</v>
      </c>
      <c r="Z301" s="5">
        <v>0</v>
      </c>
      <c r="AA301" s="5">
        <v>1</v>
      </c>
      <c r="AB301" s="5">
        <v>0</v>
      </c>
      <c r="AC301" s="5">
        <v>0</v>
      </c>
      <c r="AD301" s="56">
        <v>0</v>
      </c>
      <c r="AE301" s="53">
        <v>299</v>
      </c>
      <c r="AF301" s="142"/>
    </row>
    <row r="302" spans="1:32" s="138" customFormat="1" ht="15" customHeight="1">
      <c r="A302" s="133" t="s">
        <v>683</v>
      </c>
      <c r="B302" s="125" t="s">
        <v>684</v>
      </c>
      <c r="C302" s="164" t="s">
        <v>41</v>
      </c>
      <c r="D302" s="168" t="s">
        <v>658</v>
      </c>
      <c r="E302" s="134" t="s">
        <v>57</v>
      </c>
      <c r="F302" s="125">
        <v>4</v>
      </c>
      <c r="G302" s="134">
        <v>2</v>
      </c>
      <c r="H302" s="4" t="s">
        <v>58</v>
      </c>
      <c r="I302" s="135" t="str">
        <f t="shared" si="23"/>
        <v>A2.030.001</v>
      </c>
      <c r="J302" s="168"/>
      <c r="K302" s="125"/>
      <c r="L302" s="125"/>
      <c r="M302" s="136">
        <v>1</v>
      </c>
      <c r="N302" s="103">
        <v>1</v>
      </c>
      <c r="O302" s="103"/>
      <c r="P302" s="103">
        <v>1</v>
      </c>
      <c r="Q302" s="103">
        <v>0</v>
      </c>
      <c r="R302" s="103">
        <v>1</v>
      </c>
      <c r="S302" s="103">
        <v>0</v>
      </c>
      <c r="T302" s="103">
        <v>0</v>
      </c>
      <c r="U302" s="103">
        <v>0</v>
      </c>
      <c r="V302" s="103">
        <v>1</v>
      </c>
      <c r="W302" s="103">
        <v>1</v>
      </c>
      <c r="X302" s="103">
        <v>0</v>
      </c>
      <c r="Y302" s="103">
        <v>0</v>
      </c>
      <c r="Z302" s="103">
        <v>0</v>
      </c>
      <c r="AA302" s="103">
        <v>1</v>
      </c>
      <c r="AB302" s="103">
        <v>0</v>
      </c>
      <c r="AC302" s="103">
        <v>0</v>
      </c>
      <c r="AD302" s="137">
        <v>0</v>
      </c>
      <c r="AE302" s="125">
        <v>300</v>
      </c>
      <c r="AF302" s="148" t="s">
        <v>685</v>
      </c>
    </row>
    <row r="303" spans="1:32" ht="15">
      <c r="A303" s="47" t="s">
        <v>686</v>
      </c>
      <c r="B303" s="4" t="s">
        <v>687</v>
      </c>
      <c r="C303" s="38" t="s">
        <v>41</v>
      </c>
      <c r="D303" s="31" t="s">
        <v>658</v>
      </c>
      <c r="E303" s="4" t="s">
        <v>57</v>
      </c>
      <c r="F303" s="4">
        <v>6</v>
      </c>
      <c r="G303" s="4">
        <v>2</v>
      </c>
      <c r="H303" s="4" t="s">
        <v>58</v>
      </c>
      <c r="I303" s="24" t="str">
        <f t="shared" si="23"/>
        <v>A2.030.027</v>
      </c>
      <c r="J303" s="31"/>
      <c r="K303" s="4"/>
      <c r="L303" s="4"/>
      <c r="M303" s="16">
        <v>1</v>
      </c>
      <c r="N303" s="5">
        <v>1</v>
      </c>
      <c r="O303" s="5"/>
      <c r="P303" s="5">
        <v>1</v>
      </c>
      <c r="Q303" s="5">
        <v>0</v>
      </c>
      <c r="R303" s="5">
        <v>1</v>
      </c>
      <c r="S303" s="5">
        <v>0</v>
      </c>
      <c r="T303" s="5">
        <v>0</v>
      </c>
      <c r="U303" s="5">
        <v>0</v>
      </c>
      <c r="V303" s="5">
        <v>1</v>
      </c>
      <c r="W303" s="5">
        <v>1</v>
      </c>
      <c r="X303" s="5">
        <v>0</v>
      </c>
      <c r="Y303" s="5">
        <v>0</v>
      </c>
      <c r="Z303" s="5">
        <v>0</v>
      </c>
      <c r="AA303" s="5">
        <v>1</v>
      </c>
      <c r="AB303" s="5">
        <v>0</v>
      </c>
      <c r="AC303" s="5">
        <v>0</v>
      </c>
      <c r="AD303" s="56">
        <v>0</v>
      </c>
      <c r="AE303" s="20">
        <v>301</v>
      </c>
      <c r="AF303" s="142"/>
    </row>
    <row r="304" spans="1:32" ht="15">
      <c r="A304" s="47" t="s">
        <v>688</v>
      </c>
      <c r="B304" s="4" t="s">
        <v>689</v>
      </c>
      <c r="C304" s="38" t="s">
        <v>41</v>
      </c>
      <c r="D304" s="31" t="s">
        <v>658</v>
      </c>
      <c r="E304" s="4" t="s">
        <v>57</v>
      </c>
      <c r="F304" s="4">
        <v>6</v>
      </c>
      <c r="G304" s="10">
        <v>2</v>
      </c>
      <c r="H304" s="4" t="s">
        <v>58</v>
      </c>
      <c r="I304" s="24" t="str">
        <f t="shared" si="23"/>
        <v>A2.030.028</v>
      </c>
      <c r="J304" s="31"/>
      <c r="K304" s="4"/>
      <c r="L304" s="4"/>
      <c r="M304" s="16">
        <v>1</v>
      </c>
      <c r="N304" s="5">
        <v>1</v>
      </c>
      <c r="O304" s="5"/>
      <c r="P304" s="5">
        <v>1</v>
      </c>
      <c r="Q304" s="5">
        <v>0</v>
      </c>
      <c r="R304" s="5">
        <v>1</v>
      </c>
      <c r="S304" s="5">
        <v>0</v>
      </c>
      <c r="T304" s="5">
        <v>0</v>
      </c>
      <c r="U304" s="5">
        <v>0</v>
      </c>
      <c r="V304" s="5">
        <v>1</v>
      </c>
      <c r="W304" s="5">
        <v>1</v>
      </c>
      <c r="X304" s="5">
        <v>0</v>
      </c>
      <c r="Y304" s="5">
        <v>0</v>
      </c>
      <c r="Z304" s="5">
        <v>0</v>
      </c>
      <c r="AA304" s="5">
        <v>1</v>
      </c>
      <c r="AB304" s="5">
        <v>0</v>
      </c>
      <c r="AC304" s="5">
        <v>0</v>
      </c>
      <c r="AD304" s="56">
        <v>0</v>
      </c>
      <c r="AE304" s="53">
        <v>302</v>
      </c>
      <c r="AF304" s="142"/>
    </row>
    <row r="305" spans="1:32" ht="15">
      <c r="A305" s="47" t="s">
        <v>690</v>
      </c>
      <c r="B305" s="4" t="s">
        <v>691</v>
      </c>
      <c r="C305" s="38" t="s">
        <v>41</v>
      </c>
      <c r="D305" s="31" t="s">
        <v>658</v>
      </c>
      <c r="E305" s="4" t="s">
        <v>57</v>
      </c>
      <c r="F305" s="4">
        <v>6</v>
      </c>
      <c r="G305" s="4">
        <v>2</v>
      </c>
      <c r="H305" s="4" t="s">
        <v>58</v>
      </c>
      <c r="I305" s="24" t="str">
        <f t="shared" si="23"/>
        <v>A2.030.029</v>
      </c>
      <c r="J305" s="31"/>
      <c r="K305" s="4"/>
      <c r="L305" s="4"/>
      <c r="M305" s="16">
        <v>1</v>
      </c>
      <c r="N305" s="5">
        <v>1</v>
      </c>
      <c r="O305" s="5"/>
      <c r="P305" s="5">
        <v>1</v>
      </c>
      <c r="Q305" s="5">
        <v>0</v>
      </c>
      <c r="R305" s="5">
        <v>1</v>
      </c>
      <c r="S305" s="5">
        <v>0</v>
      </c>
      <c r="T305" s="5">
        <v>0</v>
      </c>
      <c r="U305" s="5">
        <v>0</v>
      </c>
      <c r="V305" s="5">
        <v>1</v>
      </c>
      <c r="W305" s="5">
        <v>1</v>
      </c>
      <c r="X305" s="5">
        <v>0</v>
      </c>
      <c r="Y305" s="5">
        <v>0</v>
      </c>
      <c r="Z305" s="5">
        <v>0</v>
      </c>
      <c r="AA305" s="5">
        <v>1</v>
      </c>
      <c r="AB305" s="5">
        <v>0</v>
      </c>
      <c r="AC305" s="5">
        <v>0</v>
      </c>
      <c r="AD305" s="56">
        <v>0</v>
      </c>
      <c r="AE305" s="53">
        <v>303</v>
      </c>
      <c r="AF305" s="142"/>
    </row>
    <row r="306" spans="1:32" ht="15">
      <c r="A306" s="47" t="s">
        <v>654</v>
      </c>
      <c r="B306" s="4" t="s">
        <v>692</v>
      </c>
      <c r="C306" s="38" t="s">
        <v>41</v>
      </c>
      <c r="D306" s="31" t="s">
        <v>658</v>
      </c>
      <c r="E306" s="4" t="s">
        <v>57</v>
      </c>
      <c r="F306" s="4">
        <v>5</v>
      </c>
      <c r="G306" s="10">
        <v>2</v>
      </c>
      <c r="H306" s="4" t="s">
        <v>58</v>
      </c>
      <c r="I306" s="24" t="str">
        <f t="shared" si="23"/>
        <v>A2.030.031</v>
      </c>
      <c r="J306" s="31"/>
      <c r="K306" s="4"/>
      <c r="L306" s="4"/>
      <c r="M306" s="16">
        <v>1</v>
      </c>
      <c r="N306" s="5">
        <v>1</v>
      </c>
      <c r="O306" s="5"/>
      <c r="P306" s="5">
        <v>1</v>
      </c>
      <c r="Q306" s="5">
        <v>0</v>
      </c>
      <c r="R306" s="5">
        <v>1</v>
      </c>
      <c r="S306" s="5">
        <v>0</v>
      </c>
      <c r="T306" s="5">
        <v>0</v>
      </c>
      <c r="U306" s="5">
        <v>0</v>
      </c>
      <c r="V306" s="5">
        <v>1</v>
      </c>
      <c r="W306" s="5">
        <v>1</v>
      </c>
      <c r="X306" s="5">
        <v>0</v>
      </c>
      <c r="Y306" s="5">
        <v>0</v>
      </c>
      <c r="Z306" s="5">
        <v>0</v>
      </c>
      <c r="AA306" s="5">
        <v>1</v>
      </c>
      <c r="AB306" s="5">
        <v>0</v>
      </c>
      <c r="AC306" s="5">
        <v>0</v>
      </c>
      <c r="AD306" s="56">
        <v>0</v>
      </c>
      <c r="AE306" s="53">
        <v>304</v>
      </c>
      <c r="AF306" s="142"/>
    </row>
    <row r="307" spans="1:32" ht="15">
      <c r="A307" s="47" t="s">
        <v>693</v>
      </c>
      <c r="B307" s="4" t="s">
        <v>694</v>
      </c>
      <c r="C307" s="38" t="s">
        <v>41</v>
      </c>
      <c r="D307" s="31" t="s">
        <v>658</v>
      </c>
      <c r="E307" s="4" t="s">
        <v>57</v>
      </c>
      <c r="F307" s="4">
        <v>5</v>
      </c>
      <c r="G307" s="4">
        <v>2</v>
      </c>
      <c r="H307" s="4" t="s">
        <v>58</v>
      </c>
      <c r="I307" s="24" t="str">
        <f t="shared" si="23"/>
        <v>A2.030.032</v>
      </c>
      <c r="J307" s="31"/>
      <c r="K307" s="4"/>
      <c r="L307" s="4"/>
      <c r="M307" s="16">
        <v>1</v>
      </c>
      <c r="N307" s="5">
        <v>1</v>
      </c>
      <c r="O307" s="5"/>
      <c r="P307" s="5">
        <v>1</v>
      </c>
      <c r="Q307" s="5">
        <v>0</v>
      </c>
      <c r="R307" s="5">
        <v>1</v>
      </c>
      <c r="S307" s="5">
        <v>0</v>
      </c>
      <c r="T307" s="5">
        <v>0</v>
      </c>
      <c r="U307" s="5">
        <v>0</v>
      </c>
      <c r="V307" s="5">
        <v>1</v>
      </c>
      <c r="W307" s="5">
        <v>1</v>
      </c>
      <c r="X307" s="5">
        <v>0</v>
      </c>
      <c r="Y307" s="5">
        <v>0</v>
      </c>
      <c r="Z307" s="5">
        <v>0</v>
      </c>
      <c r="AA307" s="5">
        <v>1</v>
      </c>
      <c r="AB307" s="5">
        <v>0</v>
      </c>
      <c r="AC307" s="5">
        <v>0</v>
      </c>
      <c r="AD307" s="56">
        <v>0</v>
      </c>
      <c r="AE307" s="20">
        <v>305</v>
      </c>
      <c r="AF307" s="142"/>
    </row>
    <row r="308" spans="1:32" ht="15" customHeight="1">
      <c r="A308" s="47" t="s">
        <v>695</v>
      </c>
      <c r="B308" s="4" t="s">
        <v>696</v>
      </c>
      <c r="C308" s="38" t="s">
        <v>41</v>
      </c>
      <c r="D308" s="31" t="s">
        <v>658</v>
      </c>
      <c r="E308" s="4" t="s">
        <v>57</v>
      </c>
      <c r="F308" s="4">
        <v>6</v>
      </c>
      <c r="G308" s="10">
        <v>2</v>
      </c>
      <c r="H308" s="4" t="s">
        <v>58</v>
      </c>
      <c r="I308" s="24" t="str">
        <f t="shared" si="23"/>
        <v>A2.030.033</v>
      </c>
      <c r="J308" s="31"/>
      <c r="K308" s="4"/>
      <c r="L308" s="4"/>
      <c r="M308" s="16">
        <v>1</v>
      </c>
      <c r="N308" s="5">
        <v>1</v>
      </c>
      <c r="O308" s="5"/>
      <c r="P308" s="5">
        <v>1</v>
      </c>
      <c r="Q308" s="5">
        <v>0</v>
      </c>
      <c r="R308" s="5">
        <v>1</v>
      </c>
      <c r="S308" s="5">
        <v>0</v>
      </c>
      <c r="T308" s="5">
        <v>0</v>
      </c>
      <c r="U308" s="5">
        <v>0</v>
      </c>
      <c r="V308" s="5">
        <v>1</v>
      </c>
      <c r="W308" s="5">
        <v>1</v>
      </c>
      <c r="X308" s="5">
        <v>0</v>
      </c>
      <c r="Y308" s="5">
        <v>0</v>
      </c>
      <c r="Z308" s="5">
        <v>0</v>
      </c>
      <c r="AA308" s="5">
        <v>1</v>
      </c>
      <c r="AB308" s="5">
        <v>0</v>
      </c>
      <c r="AC308" s="5">
        <v>0</v>
      </c>
      <c r="AD308" s="56">
        <v>0</v>
      </c>
      <c r="AE308" s="20">
        <v>306</v>
      </c>
      <c r="AF308" s="142"/>
    </row>
    <row r="309" spans="1:32" ht="15">
      <c r="A309" s="47" t="s">
        <v>697</v>
      </c>
      <c r="B309" s="4" t="s">
        <v>698</v>
      </c>
      <c r="C309" s="38" t="s">
        <v>41</v>
      </c>
      <c r="D309" s="31" t="s">
        <v>658</v>
      </c>
      <c r="E309" s="4" t="s">
        <v>57</v>
      </c>
      <c r="F309" s="4">
        <v>5</v>
      </c>
      <c r="G309" s="4">
        <v>2</v>
      </c>
      <c r="H309" s="4" t="s">
        <v>58</v>
      </c>
      <c r="I309" s="24" t="str">
        <f t="shared" si="23"/>
        <v>A2.030.034</v>
      </c>
      <c r="J309" s="31"/>
      <c r="K309" s="4"/>
      <c r="L309" s="4"/>
      <c r="M309" s="16">
        <v>1</v>
      </c>
      <c r="N309" s="5">
        <v>1</v>
      </c>
      <c r="O309" s="5"/>
      <c r="P309" s="5">
        <v>1</v>
      </c>
      <c r="Q309" s="5">
        <v>0</v>
      </c>
      <c r="R309" s="5">
        <v>1</v>
      </c>
      <c r="S309" s="5">
        <v>0</v>
      </c>
      <c r="T309" s="5">
        <v>0</v>
      </c>
      <c r="U309" s="5">
        <v>0</v>
      </c>
      <c r="V309" s="5">
        <v>1</v>
      </c>
      <c r="W309" s="5">
        <v>1</v>
      </c>
      <c r="X309" s="5">
        <v>0</v>
      </c>
      <c r="Y309" s="5">
        <v>0</v>
      </c>
      <c r="Z309" s="5">
        <v>0</v>
      </c>
      <c r="AA309" s="5">
        <v>1</v>
      </c>
      <c r="AB309" s="5">
        <v>0</v>
      </c>
      <c r="AC309" s="5">
        <v>0</v>
      </c>
      <c r="AD309" s="56">
        <v>0</v>
      </c>
      <c r="AE309" s="53">
        <v>307</v>
      </c>
      <c r="AF309" s="142"/>
    </row>
    <row r="310" spans="1:32" ht="15">
      <c r="A310" s="47" t="s">
        <v>699</v>
      </c>
      <c r="B310" s="4" t="s">
        <v>700</v>
      </c>
      <c r="C310" s="38" t="s">
        <v>41</v>
      </c>
      <c r="D310" s="31" t="s">
        <v>658</v>
      </c>
      <c r="E310" s="4" t="s">
        <v>57</v>
      </c>
      <c r="F310" s="4">
        <v>5</v>
      </c>
      <c r="G310" s="10">
        <v>2</v>
      </c>
      <c r="H310" s="4" t="s">
        <v>58</v>
      </c>
      <c r="I310" s="24" t="str">
        <f t="shared" si="23"/>
        <v>A2.030.038</v>
      </c>
      <c r="J310" s="31"/>
      <c r="K310" s="4"/>
      <c r="L310" s="4"/>
      <c r="M310" s="16">
        <v>1</v>
      </c>
      <c r="N310" s="5">
        <v>1</v>
      </c>
      <c r="O310" s="5"/>
      <c r="P310" s="5">
        <v>1</v>
      </c>
      <c r="Q310" s="5">
        <v>0</v>
      </c>
      <c r="R310" s="5">
        <v>1</v>
      </c>
      <c r="S310" s="5">
        <v>0</v>
      </c>
      <c r="T310" s="5">
        <v>0</v>
      </c>
      <c r="U310" s="5">
        <v>0</v>
      </c>
      <c r="V310" s="5">
        <v>1</v>
      </c>
      <c r="W310" s="5">
        <v>1</v>
      </c>
      <c r="X310" s="5">
        <v>0</v>
      </c>
      <c r="Y310" s="5">
        <v>0</v>
      </c>
      <c r="Z310" s="5">
        <v>0</v>
      </c>
      <c r="AA310" s="5">
        <v>1</v>
      </c>
      <c r="AB310" s="5">
        <v>0</v>
      </c>
      <c r="AC310" s="5">
        <v>0</v>
      </c>
      <c r="AD310" s="56">
        <v>0</v>
      </c>
      <c r="AE310" s="53">
        <v>308</v>
      </c>
      <c r="AF310" s="142"/>
    </row>
    <row r="311" spans="1:32" ht="15" customHeight="1">
      <c r="A311" s="47" t="s">
        <v>701</v>
      </c>
      <c r="B311" s="4" t="s">
        <v>702</v>
      </c>
      <c r="C311" s="38" t="s">
        <v>41</v>
      </c>
      <c r="D311" s="31" t="s">
        <v>658</v>
      </c>
      <c r="E311" s="4" t="s">
        <v>57</v>
      </c>
      <c r="F311" s="4">
        <v>5</v>
      </c>
      <c r="G311" s="4">
        <v>2</v>
      </c>
      <c r="H311" s="4" t="s">
        <v>58</v>
      </c>
      <c r="I311" s="24" t="str">
        <f t="shared" si="23"/>
        <v>A2.030.039</v>
      </c>
      <c r="J311" s="31"/>
      <c r="K311" s="4"/>
      <c r="L311" s="4"/>
      <c r="M311" s="16">
        <v>1</v>
      </c>
      <c r="N311" s="5">
        <v>1</v>
      </c>
      <c r="O311" s="5"/>
      <c r="P311" s="5">
        <v>1</v>
      </c>
      <c r="Q311" s="5">
        <v>0</v>
      </c>
      <c r="R311" s="5">
        <v>1</v>
      </c>
      <c r="S311" s="5">
        <v>0</v>
      </c>
      <c r="T311" s="5">
        <v>0</v>
      </c>
      <c r="U311" s="5">
        <v>0</v>
      </c>
      <c r="V311" s="5">
        <v>1</v>
      </c>
      <c r="W311" s="5">
        <v>1</v>
      </c>
      <c r="X311" s="5">
        <v>0</v>
      </c>
      <c r="Y311" s="5">
        <v>0</v>
      </c>
      <c r="Z311" s="5">
        <v>0</v>
      </c>
      <c r="AA311" s="5">
        <v>1</v>
      </c>
      <c r="AB311" s="5">
        <v>0</v>
      </c>
      <c r="AC311" s="5">
        <v>0</v>
      </c>
      <c r="AD311" s="56">
        <v>0</v>
      </c>
      <c r="AE311" s="53">
        <v>309</v>
      </c>
      <c r="AF311" s="142"/>
    </row>
    <row r="312" spans="1:32" ht="15">
      <c r="A312" s="47" t="s">
        <v>703</v>
      </c>
      <c r="B312" s="4" t="s">
        <v>704</v>
      </c>
      <c r="C312" s="38" t="s">
        <v>41</v>
      </c>
      <c r="D312" s="31" t="s">
        <v>658</v>
      </c>
      <c r="E312" s="4" t="s">
        <v>57</v>
      </c>
      <c r="F312" s="4">
        <v>5</v>
      </c>
      <c r="G312" s="10">
        <v>2</v>
      </c>
      <c r="H312" s="4" t="s">
        <v>58</v>
      </c>
      <c r="I312" s="24" t="str">
        <f t="shared" si="23"/>
        <v>A2.030.040</v>
      </c>
      <c r="J312" s="31"/>
      <c r="K312" s="4"/>
      <c r="L312" s="4"/>
      <c r="M312" s="16">
        <v>1</v>
      </c>
      <c r="N312" s="5">
        <v>1</v>
      </c>
      <c r="O312" s="5"/>
      <c r="P312" s="5">
        <v>1</v>
      </c>
      <c r="Q312" s="5">
        <v>0</v>
      </c>
      <c r="R312" s="5">
        <v>1</v>
      </c>
      <c r="S312" s="5">
        <v>0</v>
      </c>
      <c r="T312" s="5">
        <v>0</v>
      </c>
      <c r="U312" s="5">
        <v>0</v>
      </c>
      <c r="V312" s="5">
        <v>1</v>
      </c>
      <c r="W312" s="5">
        <v>1</v>
      </c>
      <c r="X312" s="5">
        <v>0</v>
      </c>
      <c r="Y312" s="5">
        <v>0</v>
      </c>
      <c r="Z312" s="5">
        <v>0</v>
      </c>
      <c r="AA312" s="5">
        <v>1</v>
      </c>
      <c r="AB312" s="5">
        <v>0</v>
      </c>
      <c r="AC312" s="5">
        <v>0</v>
      </c>
      <c r="AD312" s="56">
        <v>0</v>
      </c>
      <c r="AE312" s="20">
        <v>310</v>
      </c>
      <c r="AF312" s="142"/>
    </row>
    <row r="313" spans="1:32" ht="15">
      <c r="A313" s="153" t="s">
        <v>705</v>
      </c>
      <c r="B313" s="162"/>
      <c r="C313" s="166"/>
      <c r="D313" s="171"/>
      <c r="E313" s="162"/>
      <c r="F313" s="162"/>
      <c r="G313" s="162"/>
      <c r="H313" s="19"/>
      <c r="I313" s="19"/>
      <c r="J313" s="171"/>
      <c r="K313" s="19"/>
      <c r="L313" s="19"/>
      <c r="M313" s="182">
        <f>SUM(M314:M314)</f>
        <v>1</v>
      </c>
      <c r="N313" s="186">
        <f>SUM(N314:N314)</f>
        <v>1</v>
      </c>
      <c r="O313" s="186"/>
      <c r="P313" s="186">
        <f t="shared" ref="P313:AD313" si="24">SUM(P314:P314)</f>
        <v>1</v>
      </c>
      <c r="Q313" s="91">
        <f t="shared" si="24"/>
        <v>0</v>
      </c>
      <c r="R313" s="186">
        <f t="shared" si="24"/>
        <v>0</v>
      </c>
      <c r="S313" s="186">
        <f t="shared" si="24"/>
        <v>0</v>
      </c>
      <c r="T313" s="186">
        <f t="shared" si="24"/>
        <v>1</v>
      </c>
      <c r="U313" s="186">
        <f t="shared" si="24"/>
        <v>1</v>
      </c>
      <c r="V313" s="186">
        <f t="shared" si="24"/>
        <v>0</v>
      </c>
      <c r="W313" s="186">
        <f t="shared" si="24"/>
        <v>0</v>
      </c>
      <c r="X313" s="186">
        <f t="shared" si="24"/>
        <v>1</v>
      </c>
      <c r="Y313" s="186">
        <f t="shared" si="24"/>
        <v>0</v>
      </c>
      <c r="Z313" s="186">
        <f t="shared" si="24"/>
        <v>1</v>
      </c>
      <c r="AA313" s="186">
        <f t="shared" si="24"/>
        <v>1</v>
      </c>
      <c r="AB313" s="186">
        <f t="shared" si="24"/>
        <v>0</v>
      </c>
      <c r="AC313" s="186">
        <f t="shared" si="24"/>
        <v>0</v>
      </c>
      <c r="AD313" s="195">
        <f t="shared" si="24"/>
        <v>0</v>
      </c>
      <c r="AE313" s="20">
        <v>311</v>
      </c>
      <c r="AF313" s="142"/>
    </row>
    <row r="314" spans="1:32" ht="15">
      <c r="A314" s="46" t="s">
        <v>706</v>
      </c>
      <c r="B314" s="10" t="s">
        <v>707</v>
      </c>
      <c r="C314" s="38" t="s">
        <v>649</v>
      </c>
      <c r="D314" s="31" t="s">
        <v>708</v>
      </c>
      <c r="E314" s="10" t="s">
        <v>43</v>
      </c>
      <c r="F314" s="10">
        <v>1</v>
      </c>
      <c r="G314" s="10">
        <v>1</v>
      </c>
      <c r="H314" s="4" t="s">
        <v>184</v>
      </c>
      <c r="I314" s="24" t="str">
        <f>A314</f>
        <v>A1.020.052</v>
      </c>
      <c r="J314" s="31"/>
      <c r="K314" s="4"/>
      <c r="L314" s="4"/>
      <c r="M314" s="15">
        <v>1</v>
      </c>
      <c r="N314" s="11">
        <v>1</v>
      </c>
      <c r="O314" s="11"/>
      <c r="P314" s="11">
        <v>1</v>
      </c>
      <c r="Q314" s="11">
        <v>0</v>
      </c>
      <c r="R314" s="11">
        <v>0</v>
      </c>
      <c r="S314" s="11">
        <v>0</v>
      </c>
      <c r="T314" s="11">
        <v>1</v>
      </c>
      <c r="U314" s="11">
        <v>1</v>
      </c>
      <c r="V314" s="11">
        <v>0</v>
      </c>
      <c r="W314" s="11">
        <v>0</v>
      </c>
      <c r="X314" s="11">
        <v>1</v>
      </c>
      <c r="Y314" s="11">
        <v>0</v>
      </c>
      <c r="Z314" s="11">
        <v>1</v>
      </c>
      <c r="AA314" s="11">
        <v>1</v>
      </c>
      <c r="AB314" s="11">
        <v>0</v>
      </c>
      <c r="AC314" s="11">
        <v>0</v>
      </c>
      <c r="AD314" s="55">
        <v>0</v>
      </c>
      <c r="AE314" s="53">
        <v>312</v>
      </c>
      <c r="AF314" s="142"/>
    </row>
    <row r="315" spans="1:32" ht="15.75" customHeight="1">
      <c r="A315" s="153" t="s">
        <v>709</v>
      </c>
      <c r="B315" s="162"/>
      <c r="C315" s="166"/>
      <c r="D315" s="171"/>
      <c r="E315" s="162"/>
      <c r="F315" s="162"/>
      <c r="G315" s="162"/>
      <c r="H315" s="19"/>
      <c r="I315" s="19"/>
      <c r="J315" s="171"/>
      <c r="K315" s="19"/>
      <c r="L315" s="19"/>
      <c r="M315" s="182">
        <f>SUM(M316:M326)</f>
        <v>10</v>
      </c>
      <c r="N315" s="186">
        <f>SUM(N316:N326)</f>
        <v>10</v>
      </c>
      <c r="O315" s="186"/>
      <c r="P315" s="186">
        <f t="shared" ref="P315:AD315" si="25">SUM(P316:P326)</f>
        <v>10</v>
      </c>
      <c r="Q315" s="188">
        <f t="shared" si="25"/>
        <v>0</v>
      </c>
      <c r="R315" s="186">
        <f t="shared" si="25"/>
        <v>26</v>
      </c>
      <c r="S315" s="186">
        <f t="shared" si="25"/>
        <v>0</v>
      </c>
      <c r="T315" s="186">
        <f t="shared" si="25"/>
        <v>10</v>
      </c>
      <c r="U315" s="186">
        <f t="shared" si="25"/>
        <v>10</v>
      </c>
      <c r="V315" s="186">
        <f t="shared" si="25"/>
        <v>0</v>
      </c>
      <c r="W315" s="186">
        <f t="shared" si="25"/>
        <v>0</v>
      </c>
      <c r="X315" s="186">
        <f t="shared" si="25"/>
        <v>42</v>
      </c>
      <c r="Y315" s="186">
        <f t="shared" si="25"/>
        <v>0</v>
      </c>
      <c r="Z315" s="186">
        <f t="shared" si="25"/>
        <v>0</v>
      </c>
      <c r="AA315" s="186">
        <f t="shared" si="25"/>
        <v>34</v>
      </c>
      <c r="AB315" s="186">
        <f t="shared" si="25"/>
        <v>0</v>
      </c>
      <c r="AC315" s="186">
        <f t="shared" si="25"/>
        <v>0</v>
      </c>
      <c r="AD315" s="195">
        <f t="shared" si="25"/>
        <v>0</v>
      </c>
      <c r="AE315" s="53">
        <v>313</v>
      </c>
      <c r="AF315" s="142"/>
    </row>
    <row r="316" spans="1:32" ht="15">
      <c r="A316" s="46" t="s">
        <v>710</v>
      </c>
      <c r="B316" s="10" t="s">
        <v>711</v>
      </c>
      <c r="C316" s="38" t="s">
        <v>649</v>
      </c>
      <c r="D316" s="31" t="s">
        <v>712</v>
      </c>
      <c r="E316" s="10" t="s">
        <v>43</v>
      </c>
      <c r="F316" s="10">
        <v>2</v>
      </c>
      <c r="G316" s="10">
        <v>1</v>
      </c>
      <c r="H316" s="4" t="s">
        <v>187</v>
      </c>
      <c r="I316" s="24" t="str">
        <f>A316</f>
        <v>A1.020.105</v>
      </c>
      <c r="J316" s="31"/>
      <c r="K316" s="4"/>
      <c r="L316" s="4"/>
      <c r="M316" s="15">
        <v>1</v>
      </c>
      <c r="N316" s="11">
        <v>1</v>
      </c>
      <c r="O316" s="11"/>
      <c r="P316" s="11">
        <v>1</v>
      </c>
      <c r="Q316" s="11">
        <v>0</v>
      </c>
      <c r="R316" s="11">
        <v>1</v>
      </c>
      <c r="S316" s="11">
        <v>0</v>
      </c>
      <c r="T316" s="11">
        <v>1</v>
      </c>
      <c r="U316" s="11">
        <v>1</v>
      </c>
      <c r="V316" s="11">
        <v>0</v>
      </c>
      <c r="W316" s="11">
        <v>0</v>
      </c>
      <c r="X316" s="11">
        <v>1</v>
      </c>
      <c r="Y316" s="11">
        <v>0</v>
      </c>
      <c r="Z316" s="11">
        <v>0</v>
      </c>
      <c r="AA316" s="11">
        <v>1</v>
      </c>
      <c r="AB316" s="11">
        <v>0</v>
      </c>
      <c r="AC316" s="11">
        <v>0</v>
      </c>
      <c r="AD316" s="55">
        <v>0</v>
      </c>
      <c r="AE316" s="53">
        <v>314</v>
      </c>
      <c r="AF316" s="142"/>
    </row>
    <row r="317" spans="1:32" ht="15" customHeight="1">
      <c r="A317" s="106"/>
      <c r="B317" s="94"/>
      <c r="C317" s="112"/>
      <c r="D317" s="173"/>
      <c r="E317" s="94"/>
      <c r="F317" s="94"/>
      <c r="G317" s="94"/>
      <c r="H317" s="94"/>
      <c r="I317" s="94"/>
      <c r="J317" s="173"/>
      <c r="K317" s="94"/>
      <c r="L317" s="94"/>
      <c r="M317" s="121"/>
      <c r="N317" s="94"/>
      <c r="O317" s="94"/>
      <c r="P317" s="94"/>
      <c r="Q317" s="160"/>
      <c r="R317" s="94"/>
      <c r="S317" s="94"/>
      <c r="T317" s="94"/>
      <c r="U317" s="94"/>
      <c r="V317" s="94"/>
      <c r="W317" s="94"/>
      <c r="X317" s="94"/>
      <c r="Y317" s="94"/>
      <c r="Z317" s="94"/>
      <c r="AA317" s="94"/>
      <c r="AB317" s="94"/>
      <c r="AC317" s="94"/>
      <c r="AD317" s="124"/>
      <c r="AE317" s="20">
        <v>315</v>
      </c>
      <c r="AF317" s="144" t="s">
        <v>713</v>
      </c>
    </row>
    <row r="318" spans="1:32" ht="15">
      <c r="A318" s="47" t="s">
        <v>714</v>
      </c>
      <c r="B318" s="4" t="s">
        <v>715</v>
      </c>
      <c r="C318" s="40" t="s">
        <v>649</v>
      </c>
      <c r="D318" s="34" t="s">
        <v>712</v>
      </c>
      <c r="E318" s="4" t="s">
        <v>57</v>
      </c>
      <c r="F318" s="4">
        <v>4</v>
      </c>
      <c r="G318" s="4">
        <v>2</v>
      </c>
      <c r="H318" s="4" t="s">
        <v>58</v>
      </c>
      <c r="I318" s="24" t="str">
        <f t="shared" ref="I318:I326" si="26">A318</f>
        <v>A2.030.006</v>
      </c>
      <c r="J318" s="34"/>
      <c r="K318" s="4"/>
      <c r="L318" s="4"/>
      <c r="M318" s="16">
        <v>1</v>
      </c>
      <c r="N318" s="5">
        <v>1</v>
      </c>
      <c r="O318" s="5"/>
      <c r="P318" s="5">
        <v>1</v>
      </c>
      <c r="Q318" s="11">
        <v>0</v>
      </c>
      <c r="R318" s="5">
        <v>1</v>
      </c>
      <c r="S318" s="5">
        <v>0</v>
      </c>
      <c r="T318" s="5">
        <v>1</v>
      </c>
      <c r="U318" s="5">
        <v>1</v>
      </c>
      <c r="V318" s="5">
        <v>0</v>
      </c>
      <c r="W318" s="5">
        <v>0</v>
      </c>
      <c r="X318" s="5">
        <v>1</v>
      </c>
      <c r="Y318" s="5">
        <v>0</v>
      </c>
      <c r="Z318" s="5">
        <v>0</v>
      </c>
      <c r="AA318" s="5">
        <v>1</v>
      </c>
      <c r="AB318" s="5">
        <v>0</v>
      </c>
      <c r="AC318" s="5">
        <v>0</v>
      </c>
      <c r="AD318" s="56">
        <v>0</v>
      </c>
      <c r="AE318" s="20">
        <v>316</v>
      </c>
      <c r="AF318" s="144" t="s">
        <v>716</v>
      </c>
    </row>
    <row r="319" spans="1:32" ht="15">
      <c r="A319" s="47" t="s">
        <v>717</v>
      </c>
      <c r="B319" s="4" t="s">
        <v>718</v>
      </c>
      <c r="C319" s="40" t="s">
        <v>649</v>
      </c>
      <c r="D319" s="34" t="s">
        <v>712</v>
      </c>
      <c r="E319" s="4" t="s">
        <v>71</v>
      </c>
      <c r="F319" s="4">
        <v>1</v>
      </c>
      <c r="G319" s="4">
        <v>1</v>
      </c>
      <c r="H319" s="4" t="s">
        <v>72</v>
      </c>
      <c r="I319" s="24" t="str">
        <f t="shared" si="26"/>
        <v>S1.020.144</v>
      </c>
      <c r="J319" s="34"/>
      <c r="K319" s="4"/>
      <c r="L319" s="4"/>
      <c r="M319" s="16">
        <v>1</v>
      </c>
      <c r="N319" s="5">
        <v>1</v>
      </c>
      <c r="O319" s="5"/>
      <c r="P319" s="5">
        <v>1</v>
      </c>
      <c r="Q319" s="11">
        <v>0</v>
      </c>
      <c r="R319" s="5">
        <v>3</v>
      </c>
      <c r="S319" s="5">
        <v>0</v>
      </c>
      <c r="T319" s="5">
        <v>1</v>
      </c>
      <c r="U319" s="5">
        <v>1</v>
      </c>
      <c r="V319" s="5">
        <v>0</v>
      </c>
      <c r="W319" s="5">
        <v>0</v>
      </c>
      <c r="X319" s="5">
        <v>5</v>
      </c>
      <c r="Y319" s="5">
        <v>0</v>
      </c>
      <c r="Z319" s="5">
        <v>0</v>
      </c>
      <c r="AA319" s="5">
        <v>4</v>
      </c>
      <c r="AB319" s="5">
        <v>0</v>
      </c>
      <c r="AC319" s="5">
        <v>0</v>
      </c>
      <c r="AD319" s="56">
        <v>0</v>
      </c>
      <c r="AE319" s="53">
        <v>317</v>
      </c>
      <c r="AF319" s="142"/>
    </row>
    <row r="320" spans="1:32" ht="15">
      <c r="A320" s="47" t="s">
        <v>719</v>
      </c>
      <c r="B320" s="4" t="s">
        <v>720</v>
      </c>
      <c r="C320" s="40" t="s">
        <v>649</v>
      </c>
      <c r="D320" s="34" t="s">
        <v>712</v>
      </c>
      <c r="E320" s="4" t="s">
        <v>83</v>
      </c>
      <c r="F320" s="4">
        <v>1</v>
      </c>
      <c r="G320" s="4">
        <v>1</v>
      </c>
      <c r="H320" s="4" t="s">
        <v>84</v>
      </c>
      <c r="I320" s="24" t="str">
        <f t="shared" si="26"/>
        <v>S2.020.244</v>
      </c>
      <c r="J320" s="34"/>
      <c r="K320" s="4"/>
      <c r="L320" s="4"/>
      <c r="M320" s="16">
        <v>1</v>
      </c>
      <c r="N320" s="5">
        <v>1</v>
      </c>
      <c r="O320" s="5"/>
      <c r="P320" s="5">
        <v>1</v>
      </c>
      <c r="Q320" s="11">
        <v>0</v>
      </c>
      <c r="R320" s="5">
        <v>3</v>
      </c>
      <c r="S320" s="5">
        <v>0</v>
      </c>
      <c r="T320" s="5">
        <v>1</v>
      </c>
      <c r="U320" s="5">
        <v>1</v>
      </c>
      <c r="V320" s="5">
        <v>0</v>
      </c>
      <c r="W320" s="5">
        <v>0</v>
      </c>
      <c r="X320" s="5">
        <v>5</v>
      </c>
      <c r="Y320" s="5">
        <v>0</v>
      </c>
      <c r="Z320" s="5">
        <v>0</v>
      </c>
      <c r="AA320" s="5">
        <v>4</v>
      </c>
      <c r="AB320" s="5">
        <v>0</v>
      </c>
      <c r="AC320" s="5">
        <v>0</v>
      </c>
      <c r="AD320" s="56">
        <v>0</v>
      </c>
      <c r="AE320" s="53">
        <v>318</v>
      </c>
      <c r="AF320" s="142"/>
    </row>
    <row r="321" spans="1:32" ht="15" customHeight="1">
      <c r="A321" s="47" t="s">
        <v>721</v>
      </c>
      <c r="B321" s="90" t="s">
        <v>722</v>
      </c>
      <c r="C321" s="40" t="s">
        <v>649</v>
      </c>
      <c r="D321" s="34" t="s">
        <v>712</v>
      </c>
      <c r="E321" s="4" t="s">
        <v>95</v>
      </c>
      <c r="F321" s="4">
        <v>1</v>
      </c>
      <c r="G321" s="4">
        <v>1</v>
      </c>
      <c r="H321" s="4" t="s">
        <v>96</v>
      </c>
      <c r="I321" s="24" t="str">
        <f t="shared" si="26"/>
        <v>S3.020.344</v>
      </c>
      <c r="J321" s="34"/>
      <c r="K321" s="4"/>
      <c r="L321" s="4"/>
      <c r="M321" s="16">
        <v>1</v>
      </c>
      <c r="N321" s="5">
        <v>1</v>
      </c>
      <c r="O321" s="5"/>
      <c r="P321" s="5">
        <v>1</v>
      </c>
      <c r="Q321" s="11">
        <v>0</v>
      </c>
      <c r="R321" s="5">
        <v>3</v>
      </c>
      <c r="S321" s="5">
        <v>0</v>
      </c>
      <c r="T321" s="5">
        <v>1</v>
      </c>
      <c r="U321" s="5">
        <v>1</v>
      </c>
      <c r="V321" s="5">
        <v>0</v>
      </c>
      <c r="W321" s="5">
        <v>0</v>
      </c>
      <c r="X321" s="5">
        <v>5</v>
      </c>
      <c r="Y321" s="5">
        <v>0</v>
      </c>
      <c r="Z321" s="5">
        <v>0</v>
      </c>
      <c r="AA321" s="5">
        <v>4</v>
      </c>
      <c r="AB321" s="5">
        <v>0</v>
      </c>
      <c r="AC321" s="5">
        <v>0</v>
      </c>
      <c r="AD321" s="56">
        <v>0</v>
      </c>
      <c r="AE321" s="53">
        <v>319</v>
      </c>
      <c r="AF321" s="142"/>
    </row>
    <row r="322" spans="1:32" ht="15">
      <c r="A322" s="47" t="s">
        <v>723</v>
      </c>
      <c r="B322" s="4" t="s">
        <v>724</v>
      </c>
      <c r="C322" s="40" t="s">
        <v>649</v>
      </c>
      <c r="D322" s="34" t="s">
        <v>712</v>
      </c>
      <c r="E322" s="4" t="s">
        <v>107</v>
      </c>
      <c r="F322" s="4">
        <v>1</v>
      </c>
      <c r="G322" s="4">
        <v>1</v>
      </c>
      <c r="H322" s="4" t="s">
        <v>108</v>
      </c>
      <c r="I322" s="24" t="str">
        <f t="shared" si="26"/>
        <v>S4.020.444</v>
      </c>
      <c r="J322" s="34"/>
      <c r="K322" s="4"/>
      <c r="L322" s="4"/>
      <c r="M322" s="16">
        <v>1</v>
      </c>
      <c r="N322" s="5">
        <v>1</v>
      </c>
      <c r="O322" s="5"/>
      <c r="P322" s="5">
        <v>1</v>
      </c>
      <c r="Q322" s="11">
        <v>0</v>
      </c>
      <c r="R322" s="5">
        <v>3</v>
      </c>
      <c r="S322" s="5">
        <v>0</v>
      </c>
      <c r="T322" s="5">
        <v>1</v>
      </c>
      <c r="U322" s="5">
        <v>1</v>
      </c>
      <c r="V322" s="5">
        <v>0</v>
      </c>
      <c r="W322" s="5">
        <v>0</v>
      </c>
      <c r="X322" s="5">
        <v>5</v>
      </c>
      <c r="Y322" s="5">
        <v>0</v>
      </c>
      <c r="Z322" s="5">
        <v>0</v>
      </c>
      <c r="AA322" s="5">
        <v>4</v>
      </c>
      <c r="AB322" s="5">
        <v>0</v>
      </c>
      <c r="AC322" s="5">
        <v>0</v>
      </c>
      <c r="AD322" s="56">
        <v>0</v>
      </c>
      <c r="AE322" s="20">
        <v>320</v>
      </c>
      <c r="AF322" s="142"/>
    </row>
    <row r="323" spans="1:32" ht="15">
      <c r="A323" s="47" t="s">
        <v>725</v>
      </c>
      <c r="B323" s="4" t="s">
        <v>726</v>
      </c>
      <c r="C323" s="40" t="s">
        <v>649</v>
      </c>
      <c r="D323" s="34" t="s">
        <v>712</v>
      </c>
      <c r="E323" s="4" t="s">
        <v>119</v>
      </c>
      <c r="F323" s="4">
        <v>1</v>
      </c>
      <c r="G323" s="4">
        <v>1</v>
      </c>
      <c r="H323" s="4" t="s">
        <v>120</v>
      </c>
      <c r="I323" s="24" t="str">
        <f t="shared" si="26"/>
        <v>S5.020.544</v>
      </c>
      <c r="J323" s="34"/>
      <c r="K323" s="4"/>
      <c r="L323" s="4"/>
      <c r="M323" s="16">
        <v>1</v>
      </c>
      <c r="N323" s="5">
        <v>1</v>
      </c>
      <c r="O323" s="5"/>
      <c r="P323" s="5">
        <v>1</v>
      </c>
      <c r="Q323" s="11">
        <v>0</v>
      </c>
      <c r="R323" s="5">
        <v>3</v>
      </c>
      <c r="S323" s="5">
        <v>0</v>
      </c>
      <c r="T323" s="5">
        <v>1</v>
      </c>
      <c r="U323" s="5">
        <v>1</v>
      </c>
      <c r="V323" s="5">
        <v>0</v>
      </c>
      <c r="W323" s="5">
        <v>0</v>
      </c>
      <c r="X323" s="5">
        <v>5</v>
      </c>
      <c r="Y323" s="5">
        <v>0</v>
      </c>
      <c r="Z323" s="5">
        <v>0</v>
      </c>
      <c r="AA323" s="5">
        <v>4</v>
      </c>
      <c r="AB323" s="5">
        <v>0</v>
      </c>
      <c r="AC323" s="5">
        <v>0</v>
      </c>
      <c r="AD323" s="56">
        <v>0</v>
      </c>
      <c r="AE323" s="20">
        <v>321</v>
      </c>
      <c r="AF323" s="142"/>
    </row>
    <row r="324" spans="1:32" ht="15">
      <c r="A324" s="47" t="s">
        <v>727</v>
      </c>
      <c r="B324" s="4" t="s">
        <v>728</v>
      </c>
      <c r="C324" s="40" t="s">
        <v>649</v>
      </c>
      <c r="D324" s="34" t="s">
        <v>712</v>
      </c>
      <c r="E324" s="4" t="s">
        <v>131</v>
      </c>
      <c r="F324" s="4">
        <v>1</v>
      </c>
      <c r="G324" s="4">
        <v>1</v>
      </c>
      <c r="H324" s="4" t="s">
        <v>132</v>
      </c>
      <c r="I324" s="24" t="str">
        <f t="shared" si="26"/>
        <v>S6.020.644</v>
      </c>
      <c r="J324" s="34"/>
      <c r="K324" s="4"/>
      <c r="L324" s="4"/>
      <c r="M324" s="16">
        <v>1</v>
      </c>
      <c r="N324" s="5">
        <v>1</v>
      </c>
      <c r="O324" s="5"/>
      <c r="P324" s="5">
        <v>1</v>
      </c>
      <c r="Q324" s="11">
        <v>0</v>
      </c>
      <c r="R324" s="5">
        <v>3</v>
      </c>
      <c r="S324" s="5">
        <v>0</v>
      </c>
      <c r="T324" s="5">
        <v>1</v>
      </c>
      <c r="U324" s="5">
        <v>1</v>
      </c>
      <c r="V324" s="5">
        <v>0</v>
      </c>
      <c r="W324" s="5">
        <v>0</v>
      </c>
      <c r="X324" s="5">
        <v>5</v>
      </c>
      <c r="Y324" s="5">
        <v>0</v>
      </c>
      <c r="Z324" s="5">
        <v>0</v>
      </c>
      <c r="AA324" s="5">
        <v>4</v>
      </c>
      <c r="AB324" s="5">
        <v>0</v>
      </c>
      <c r="AC324" s="5">
        <v>0</v>
      </c>
      <c r="AD324" s="56">
        <v>0</v>
      </c>
      <c r="AE324" s="53">
        <v>322</v>
      </c>
      <c r="AF324" s="142"/>
    </row>
    <row r="325" spans="1:32" ht="15">
      <c r="A325" s="47" t="s">
        <v>729</v>
      </c>
      <c r="B325" s="4" t="s">
        <v>730</v>
      </c>
      <c r="C325" s="40" t="s">
        <v>649</v>
      </c>
      <c r="D325" s="34" t="s">
        <v>712</v>
      </c>
      <c r="E325" s="4" t="s">
        <v>143</v>
      </c>
      <c r="F325" s="4">
        <v>1</v>
      </c>
      <c r="G325" s="4">
        <v>1</v>
      </c>
      <c r="H325" s="4" t="s">
        <v>144</v>
      </c>
      <c r="I325" s="24" t="str">
        <f t="shared" si="26"/>
        <v>S7.020.744</v>
      </c>
      <c r="J325" s="34"/>
      <c r="K325" s="4"/>
      <c r="L325" s="4"/>
      <c r="M325" s="16">
        <v>1</v>
      </c>
      <c r="N325" s="5">
        <v>1</v>
      </c>
      <c r="O325" s="5"/>
      <c r="P325" s="5">
        <v>1</v>
      </c>
      <c r="Q325" s="11">
        <v>0</v>
      </c>
      <c r="R325" s="5">
        <v>3</v>
      </c>
      <c r="S325" s="5">
        <v>0</v>
      </c>
      <c r="T325" s="5">
        <v>1</v>
      </c>
      <c r="U325" s="5">
        <v>1</v>
      </c>
      <c r="V325" s="5">
        <v>0</v>
      </c>
      <c r="W325" s="5">
        <v>0</v>
      </c>
      <c r="X325" s="5">
        <v>5</v>
      </c>
      <c r="Y325" s="5">
        <v>0</v>
      </c>
      <c r="Z325" s="5">
        <v>0</v>
      </c>
      <c r="AA325" s="5">
        <v>4</v>
      </c>
      <c r="AB325" s="5">
        <v>0</v>
      </c>
      <c r="AC325" s="5">
        <v>0</v>
      </c>
      <c r="AD325" s="56">
        <v>0</v>
      </c>
      <c r="AE325" s="53">
        <v>323</v>
      </c>
      <c r="AF325" s="142"/>
    </row>
    <row r="326" spans="1:32" ht="15">
      <c r="A326" s="47" t="s">
        <v>731</v>
      </c>
      <c r="B326" s="4" t="s">
        <v>732</v>
      </c>
      <c r="C326" s="40" t="s">
        <v>649</v>
      </c>
      <c r="D326" s="34" t="s">
        <v>712</v>
      </c>
      <c r="E326" s="4" t="s">
        <v>155</v>
      </c>
      <c r="F326" s="4">
        <v>1</v>
      </c>
      <c r="G326" s="4">
        <v>1</v>
      </c>
      <c r="H326" s="4" t="s">
        <v>156</v>
      </c>
      <c r="I326" s="24" t="str">
        <f t="shared" si="26"/>
        <v>S8.020.844</v>
      </c>
      <c r="J326" s="34"/>
      <c r="K326" s="4"/>
      <c r="L326" s="4"/>
      <c r="M326" s="16">
        <v>1</v>
      </c>
      <c r="N326" s="5">
        <v>1</v>
      </c>
      <c r="O326" s="5"/>
      <c r="P326" s="5">
        <v>1</v>
      </c>
      <c r="Q326" s="11">
        <v>0</v>
      </c>
      <c r="R326" s="5">
        <v>3</v>
      </c>
      <c r="S326" s="5">
        <v>0</v>
      </c>
      <c r="T326" s="5">
        <v>1</v>
      </c>
      <c r="U326" s="5">
        <v>1</v>
      </c>
      <c r="V326" s="5">
        <v>0</v>
      </c>
      <c r="W326" s="5">
        <v>0</v>
      </c>
      <c r="X326" s="5">
        <v>5</v>
      </c>
      <c r="Y326" s="5">
        <v>0</v>
      </c>
      <c r="Z326" s="5">
        <v>0</v>
      </c>
      <c r="AA326" s="5">
        <v>4</v>
      </c>
      <c r="AB326" s="5">
        <v>0</v>
      </c>
      <c r="AC326" s="5">
        <v>0</v>
      </c>
      <c r="AD326" s="56">
        <v>0</v>
      </c>
      <c r="AE326" s="53">
        <v>324</v>
      </c>
      <c r="AF326" s="142"/>
    </row>
    <row r="327" spans="1:32" ht="15">
      <c r="A327" s="153" t="s">
        <v>733</v>
      </c>
      <c r="B327" s="162"/>
      <c r="C327" s="166"/>
      <c r="D327" s="171"/>
      <c r="E327" s="162"/>
      <c r="F327" s="162"/>
      <c r="G327" s="162"/>
      <c r="H327" s="19"/>
      <c r="I327" s="19"/>
      <c r="J327" s="171"/>
      <c r="K327" s="19"/>
      <c r="L327" s="19"/>
      <c r="M327" s="182">
        <f>SUM(M328:M383)</f>
        <v>54</v>
      </c>
      <c r="N327" s="186">
        <f>SUM(N328:N383)</f>
        <v>54</v>
      </c>
      <c r="O327" s="186"/>
      <c r="P327" s="186">
        <f t="shared" ref="P327:AD327" si="27">SUM(P328:P383)</f>
        <v>54</v>
      </c>
      <c r="Q327" s="188">
        <f t="shared" si="27"/>
        <v>0</v>
      </c>
      <c r="R327" s="186">
        <f t="shared" si="27"/>
        <v>70</v>
      </c>
      <c r="S327" s="186">
        <f t="shared" si="27"/>
        <v>0</v>
      </c>
      <c r="T327" s="186">
        <f t="shared" si="27"/>
        <v>54</v>
      </c>
      <c r="U327" s="186">
        <f t="shared" si="27"/>
        <v>54</v>
      </c>
      <c r="V327" s="186">
        <f t="shared" si="27"/>
        <v>0</v>
      </c>
      <c r="W327" s="186">
        <f t="shared" si="27"/>
        <v>0</v>
      </c>
      <c r="X327" s="186">
        <f t="shared" si="27"/>
        <v>85</v>
      </c>
      <c r="Y327" s="186">
        <f t="shared" si="27"/>
        <v>0</v>
      </c>
      <c r="Z327" s="186">
        <f t="shared" si="27"/>
        <v>73</v>
      </c>
      <c r="AA327" s="186">
        <f t="shared" si="27"/>
        <v>54</v>
      </c>
      <c r="AB327" s="186">
        <f t="shared" si="27"/>
        <v>0</v>
      </c>
      <c r="AC327" s="186">
        <f t="shared" si="27"/>
        <v>0</v>
      </c>
      <c r="AD327" s="195">
        <f t="shared" si="27"/>
        <v>0</v>
      </c>
      <c r="AE327" s="20">
        <v>325</v>
      </c>
      <c r="AF327" s="142"/>
    </row>
    <row r="328" spans="1:32" ht="15">
      <c r="A328" s="151"/>
      <c r="B328" s="160"/>
      <c r="C328" s="42"/>
      <c r="D328" s="116"/>
      <c r="E328" s="160"/>
      <c r="F328" s="160"/>
      <c r="G328" s="160"/>
      <c r="H328" s="94"/>
      <c r="I328" s="94"/>
      <c r="J328" s="116"/>
      <c r="K328" s="94"/>
      <c r="L328" s="94"/>
      <c r="M328" s="18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  <c r="AA328" s="160"/>
      <c r="AB328" s="160"/>
      <c r="AC328" s="160"/>
      <c r="AD328" s="192"/>
      <c r="AE328" s="20">
        <v>326</v>
      </c>
      <c r="AF328" s="144" t="s">
        <v>713</v>
      </c>
    </row>
    <row r="329" spans="1:32" ht="15">
      <c r="A329" s="47" t="s">
        <v>734</v>
      </c>
      <c r="B329" s="4" t="s">
        <v>735</v>
      </c>
      <c r="C329" s="40" t="s">
        <v>649</v>
      </c>
      <c r="D329" s="31" t="s">
        <v>736</v>
      </c>
      <c r="E329" s="10" t="s">
        <v>43</v>
      </c>
      <c r="F329" s="4">
        <v>4</v>
      </c>
      <c r="G329" s="4">
        <v>2</v>
      </c>
      <c r="H329" s="4" t="s">
        <v>44</v>
      </c>
      <c r="I329" s="29" t="s">
        <v>53</v>
      </c>
      <c r="J329" s="31"/>
      <c r="K329" s="4"/>
      <c r="L329" s="4"/>
      <c r="M329" s="16">
        <v>1</v>
      </c>
      <c r="N329" s="5">
        <v>1</v>
      </c>
      <c r="O329" s="5"/>
      <c r="P329" s="5">
        <v>1</v>
      </c>
      <c r="Q329" s="11">
        <v>0</v>
      </c>
      <c r="R329" s="5">
        <v>1</v>
      </c>
      <c r="S329" s="5">
        <v>0</v>
      </c>
      <c r="T329" s="5">
        <v>1</v>
      </c>
      <c r="U329" s="5">
        <v>1</v>
      </c>
      <c r="V329" s="5">
        <v>0</v>
      </c>
      <c r="W329" s="5">
        <v>0</v>
      </c>
      <c r="X329" s="5">
        <v>2</v>
      </c>
      <c r="Y329" s="5">
        <v>0</v>
      </c>
      <c r="Z329" s="5">
        <v>1</v>
      </c>
      <c r="AA329" s="5">
        <v>1</v>
      </c>
      <c r="AB329" s="5">
        <v>0</v>
      </c>
      <c r="AC329" s="5">
        <v>0</v>
      </c>
      <c r="AD329" s="56">
        <v>0</v>
      </c>
      <c r="AE329" s="53">
        <v>327</v>
      </c>
      <c r="AF329" s="144" t="s">
        <v>716</v>
      </c>
    </row>
    <row r="330" spans="1:32" ht="15">
      <c r="A330" s="47" t="s">
        <v>737</v>
      </c>
      <c r="B330" s="4" t="s">
        <v>738</v>
      </c>
      <c r="C330" s="40" t="s">
        <v>649</v>
      </c>
      <c r="D330" s="31" t="s">
        <v>736</v>
      </c>
      <c r="E330" s="10" t="s">
        <v>43</v>
      </c>
      <c r="F330" s="4">
        <v>7</v>
      </c>
      <c r="G330" s="4">
        <v>2</v>
      </c>
      <c r="H330" s="4" t="s">
        <v>44</v>
      </c>
      <c r="I330" s="24" t="str">
        <f t="shared" ref="I330:I337" si="28">A330</f>
        <v>A1.030.031</v>
      </c>
      <c r="J330" s="31"/>
      <c r="K330" s="4"/>
      <c r="L330" s="4"/>
      <c r="M330" s="16">
        <v>1</v>
      </c>
      <c r="N330" s="5">
        <v>1</v>
      </c>
      <c r="O330" s="5"/>
      <c r="P330" s="5">
        <v>1</v>
      </c>
      <c r="Q330" s="11">
        <v>0</v>
      </c>
      <c r="R330" s="5">
        <v>1</v>
      </c>
      <c r="S330" s="5">
        <v>0</v>
      </c>
      <c r="T330" s="5">
        <v>1</v>
      </c>
      <c r="U330" s="5">
        <v>1</v>
      </c>
      <c r="V330" s="5">
        <v>0</v>
      </c>
      <c r="W330" s="5">
        <v>0</v>
      </c>
      <c r="X330" s="5">
        <v>1</v>
      </c>
      <c r="Y330" s="5">
        <v>0</v>
      </c>
      <c r="Z330" s="5">
        <v>1</v>
      </c>
      <c r="AA330" s="5">
        <v>1</v>
      </c>
      <c r="AB330" s="5">
        <v>0</v>
      </c>
      <c r="AC330" s="5">
        <v>0</v>
      </c>
      <c r="AD330" s="56">
        <v>0</v>
      </c>
      <c r="AE330" s="53">
        <v>328</v>
      </c>
      <c r="AF330" s="142"/>
    </row>
    <row r="331" spans="1:32" ht="15">
      <c r="A331" s="47" t="s">
        <v>739</v>
      </c>
      <c r="B331" s="4" t="s">
        <v>740</v>
      </c>
      <c r="C331" s="40" t="s">
        <v>649</v>
      </c>
      <c r="D331" s="31" t="s">
        <v>736</v>
      </c>
      <c r="E331" s="10" t="s">
        <v>43</v>
      </c>
      <c r="F331" s="4">
        <v>7</v>
      </c>
      <c r="G331" s="4">
        <v>2</v>
      </c>
      <c r="H331" s="4" t="s">
        <v>44</v>
      </c>
      <c r="I331" s="24" t="str">
        <f t="shared" si="28"/>
        <v>A1.030.032</v>
      </c>
      <c r="J331" s="31"/>
      <c r="K331" s="4"/>
      <c r="L331" s="4"/>
      <c r="M331" s="16">
        <v>1</v>
      </c>
      <c r="N331" s="5">
        <v>1</v>
      </c>
      <c r="O331" s="5"/>
      <c r="P331" s="5">
        <v>1</v>
      </c>
      <c r="Q331" s="11">
        <v>0</v>
      </c>
      <c r="R331" s="5">
        <v>1</v>
      </c>
      <c r="S331" s="5">
        <v>0</v>
      </c>
      <c r="T331" s="5">
        <v>1</v>
      </c>
      <c r="U331" s="5">
        <v>1</v>
      </c>
      <c r="V331" s="5">
        <v>0</v>
      </c>
      <c r="W331" s="5">
        <v>0</v>
      </c>
      <c r="X331" s="5">
        <v>1</v>
      </c>
      <c r="Y331" s="5">
        <v>0</v>
      </c>
      <c r="Z331" s="5">
        <v>1</v>
      </c>
      <c r="AA331" s="5">
        <v>1</v>
      </c>
      <c r="AB331" s="5">
        <v>0</v>
      </c>
      <c r="AC331" s="5">
        <v>0</v>
      </c>
      <c r="AD331" s="56">
        <v>0</v>
      </c>
      <c r="AE331" s="53">
        <v>329</v>
      </c>
      <c r="AF331" s="142"/>
    </row>
    <row r="332" spans="1:32" ht="15">
      <c r="A332" s="47" t="s">
        <v>741</v>
      </c>
      <c r="B332" s="4" t="s">
        <v>742</v>
      </c>
      <c r="C332" s="40" t="s">
        <v>649</v>
      </c>
      <c r="D332" s="31" t="s">
        <v>736</v>
      </c>
      <c r="E332" s="10" t="s">
        <v>43</v>
      </c>
      <c r="F332" s="4">
        <v>5</v>
      </c>
      <c r="G332" s="4">
        <v>2</v>
      </c>
      <c r="H332" s="4" t="s">
        <v>44</v>
      </c>
      <c r="I332" s="24" t="str">
        <f t="shared" si="28"/>
        <v>A1.030.039</v>
      </c>
      <c r="J332" s="31"/>
      <c r="K332" s="4"/>
      <c r="L332" s="4"/>
      <c r="M332" s="16">
        <v>1</v>
      </c>
      <c r="N332" s="5">
        <v>1</v>
      </c>
      <c r="O332" s="5"/>
      <c r="P332" s="5">
        <v>1</v>
      </c>
      <c r="Q332" s="11">
        <v>0</v>
      </c>
      <c r="R332" s="5">
        <v>1</v>
      </c>
      <c r="S332" s="5">
        <v>0</v>
      </c>
      <c r="T332" s="5">
        <v>1</v>
      </c>
      <c r="U332" s="5">
        <v>1</v>
      </c>
      <c r="V332" s="5">
        <v>0</v>
      </c>
      <c r="W332" s="5">
        <v>0</v>
      </c>
      <c r="X332" s="5">
        <v>1</v>
      </c>
      <c r="Y332" s="5">
        <v>0</v>
      </c>
      <c r="Z332" s="5">
        <v>2</v>
      </c>
      <c r="AA332" s="5">
        <v>1</v>
      </c>
      <c r="AB332" s="5">
        <v>0</v>
      </c>
      <c r="AC332" s="5">
        <v>0</v>
      </c>
      <c r="AD332" s="56">
        <v>0</v>
      </c>
      <c r="AE332" s="20">
        <v>330</v>
      </c>
      <c r="AF332" s="142"/>
    </row>
    <row r="333" spans="1:32" ht="15">
      <c r="A333" s="47" t="s">
        <v>743</v>
      </c>
      <c r="B333" s="4" t="s">
        <v>744</v>
      </c>
      <c r="C333" s="40" t="s">
        <v>649</v>
      </c>
      <c r="D333" s="31" t="s">
        <v>736</v>
      </c>
      <c r="E333" s="10" t="s">
        <v>43</v>
      </c>
      <c r="F333" s="4">
        <v>6</v>
      </c>
      <c r="G333" s="4">
        <v>2</v>
      </c>
      <c r="H333" s="4" t="s">
        <v>44</v>
      </c>
      <c r="I333" s="24" t="str">
        <f t="shared" si="28"/>
        <v>A1.030.046</v>
      </c>
      <c r="J333" s="31"/>
      <c r="K333" s="4"/>
      <c r="L333" s="4"/>
      <c r="M333" s="16">
        <v>1</v>
      </c>
      <c r="N333" s="5">
        <v>1</v>
      </c>
      <c r="O333" s="5"/>
      <c r="P333" s="5">
        <v>1</v>
      </c>
      <c r="Q333" s="11">
        <v>0</v>
      </c>
      <c r="R333" s="5">
        <v>1</v>
      </c>
      <c r="S333" s="5">
        <v>0</v>
      </c>
      <c r="T333" s="5">
        <v>1</v>
      </c>
      <c r="U333" s="5">
        <v>1</v>
      </c>
      <c r="V333" s="5">
        <v>0</v>
      </c>
      <c r="W333" s="5">
        <v>0</v>
      </c>
      <c r="X333" s="5">
        <v>2</v>
      </c>
      <c r="Y333" s="5">
        <v>0</v>
      </c>
      <c r="Z333" s="5">
        <v>2</v>
      </c>
      <c r="AA333" s="5">
        <v>1</v>
      </c>
      <c r="AB333" s="5">
        <v>0</v>
      </c>
      <c r="AC333" s="5">
        <v>0</v>
      </c>
      <c r="AD333" s="56">
        <v>0</v>
      </c>
      <c r="AE333" s="20">
        <v>331</v>
      </c>
      <c r="AF333" s="142"/>
    </row>
    <row r="334" spans="1:32" ht="15">
      <c r="A334" s="47" t="s">
        <v>745</v>
      </c>
      <c r="B334" s="4" t="s">
        <v>746</v>
      </c>
      <c r="C334" s="40" t="s">
        <v>649</v>
      </c>
      <c r="D334" s="31" t="s">
        <v>736</v>
      </c>
      <c r="E334" s="10" t="s">
        <v>43</v>
      </c>
      <c r="F334" s="4">
        <v>6</v>
      </c>
      <c r="G334" s="4">
        <v>2</v>
      </c>
      <c r="H334" s="4" t="s">
        <v>44</v>
      </c>
      <c r="I334" s="24" t="str">
        <f t="shared" si="28"/>
        <v>A1.030.047</v>
      </c>
      <c r="J334" s="31"/>
      <c r="K334" s="4"/>
      <c r="L334" s="4"/>
      <c r="M334" s="16">
        <v>1</v>
      </c>
      <c r="N334" s="5">
        <v>1</v>
      </c>
      <c r="O334" s="5"/>
      <c r="P334" s="5">
        <v>1</v>
      </c>
      <c r="Q334" s="11">
        <v>0</v>
      </c>
      <c r="R334" s="5">
        <v>1</v>
      </c>
      <c r="S334" s="5">
        <v>0</v>
      </c>
      <c r="T334" s="5">
        <v>1</v>
      </c>
      <c r="U334" s="5">
        <v>1</v>
      </c>
      <c r="V334" s="5">
        <v>0</v>
      </c>
      <c r="W334" s="5">
        <v>0</v>
      </c>
      <c r="X334" s="5">
        <v>1</v>
      </c>
      <c r="Y334" s="5">
        <v>0</v>
      </c>
      <c r="Z334" s="5">
        <v>1</v>
      </c>
      <c r="AA334" s="5">
        <v>1</v>
      </c>
      <c r="AB334" s="5">
        <v>0</v>
      </c>
      <c r="AC334" s="5">
        <v>0</v>
      </c>
      <c r="AD334" s="56">
        <v>0</v>
      </c>
      <c r="AE334" s="53">
        <v>332</v>
      </c>
      <c r="AF334" s="142"/>
    </row>
    <row r="335" spans="1:32" ht="15">
      <c r="A335" s="47" t="s">
        <v>747</v>
      </c>
      <c r="B335" s="4" t="s">
        <v>748</v>
      </c>
      <c r="C335" s="40" t="s">
        <v>649</v>
      </c>
      <c r="D335" s="31" t="s">
        <v>736</v>
      </c>
      <c r="E335" s="10" t="s">
        <v>43</v>
      </c>
      <c r="F335" s="4">
        <v>6</v>
      </c>
      <c r="G335" s="4">
        <v>2</v>
      </c>
      <c r="H335" s="4" t="s">
        <v>44</v>
      </c>
      <c r="I335" s="24" t="str">
        <f t="shared" si="28"/>
        <v>A1.030.048</v>
      </c>
      <c r="J335" s="31"/>
      <c r="K335" s="4"/>
      <c r="L335" s="4"/>
      <c r="M335" s="16">
        <v>1</v>
      </c>
      <c r="N335" s="5">
        <v>1</v>
      </c>
      <c r="O335" s="5"/>
      <c r="P335" s="5">
        <v>1</v>
      </c>
      <c r="Q335" s="11">
        <v>0</v>
      </c>
      <c r="R335" s="5">
        <v>1</v>
      </c>
      <c r="S335" s="5">
        <v>0</v>
      </c>
      <c r="T335" s="5">
        <v>1</v>
      </c>
      <c r="U335" s="5">
        <v>1</v>
      </c>
      <c r="V335" s="5">
        <v>0</v>
      </c>
      <c r="W335" s="5">
        <v>0</v>
      </c>
      <c r="X335" s="5">
        <v>1</v>
      </c>
      <c r="Y335" s="5">
        <v>0</v>
      </c>
      <c r="Z335" s="5">
        <v>1</v>
      </c>
      <c r="AA335" s="5">
        <v>1</v>
      </c>
      <c r="AB335" s="5">
        <v>0</v>
      </c>
      <c r="AC335" s="5">
        <v>0</v>
      </c>
      <c r="AD335" s="56">
        <v>0</v>
      </c>
      <c r="AE335" s="53">
        <v>333</v>
      </c>
      <c r="AF335" s="142"/>
    </row>
    <row r="336" spans="1:32" ht="15">
      <c r="A336" s="47" t="s">
        <v>749</v>
      </c>
      <c r="B336" s="4" t="s">
        <v>750</v>
      </c>
      <c r="C336" s="40" t="s">
        <v>649</v>
      </c>
      <c r="D336" s="31" t="s">
        <v>736</v>
      </c>
      <c r="E336" s="10" t="s">
        <v>43</v>
      </c>
      <c r="F336" s="4">
        <v>7</v>
      </c>
      <c r="G336" s="4">
        <v>2</v>
      </c>
      <c r="H336" s="4" t="s">
        <v>44</v>
      </c>
      <c r="I336" s="24" t="str">
        <f t="shared" si="28"/>
        <v>A1.030.054</v>
      </c>
      <c r="J336" s="31"/>
      <c r="K336" s="4"/>
      <c r="L336" s="4"/>
      <c r="M336" s="16">
        <v>1</v>
      </c>
      <c r="N336" s="5">
        <v>1</v>
      </c>
      <c r="O336" s="5"/>
      <c r="P336" s="5">
        <v>1</v>
      </c>
      <c r="Q336" s="11">
        <v>0</v>
      </c>
      <c r="R336" s="5">
        <v>1</v>
      </c>
      <c r="S336" s="5">
        <v>0</v>
      </c>
      <c r="T336" s="5">
        <v>1</v>
      </c>
      <c r="U336" s="5">
        <v>1</v>
      </c>
      <c r="V336" s="5">
        <v>0</v>
      </c>
      <c r="W336" s="5">
        <v>0</v>
      </c>
      <c r="X336" s="5">
        <v>3</v>
      </c>
      <c r="Y336" s="5">
        <v>0</v>
      </c>
      <c r="Z336" s="5">
        <v>1</v>
      </c>
      <c r="AA336" s="5">
        <v>1</v>
      </c>
      <c r="AB336" s="5">
        <v>0</v>
      </c>
      <c r="AC336" s="5">
        <v>0</v>
      </c>
      <c r="AD336" s="56">
        <v>0</v>
      </c>
      <c r="AE336" s="53">
        <v>334</v>
      </c>
      <c r="AF336" s="142"/>
    </row>
    <row r="337" spans="1:32" ht="15">
      <c r="A337" s="47" t="s">
        <v>751</v>
      </c>
      <c r="B337" s="4" t="s">
        <v>752</v>
      </c>
      <c r="C337" s="40" t="s">
        <v>649</v>
      </c>
      <c r="D337" s="31" t="s">
        <v>736</v>
      </c>
      <c r="E337" s="4" t="s">
        <v>57</v>
      </c>
      <c r="F337" s="4">
        <v>3</v>
      </c>
      <c r="G337" s="4">
        <v>1</v>
      </c>
      <c r="H337" s="4" t="s">
        <v>58</v>
      </c>
      <c r="I337" s="24" t="str">
        <f t="shared" si="28"/>
        <v>A2.020.024</v>
      </c>
      <c r="J337" s="31"/>
      <c r="K337" s="4"/>
      <c r="L337" s="4"/>
      <c r="M337" s="16">
        <v>1</v>
      </c>
      <c r="N337" s="5">
        <v>1</v>
      </c>
      <c r="O337" s="5"/>
      <c r="P337" s="5">
        <v>1</v>
      </c>
      <c r="Q337" s="11">
        <v>0</v>
      </c>
      <c r="R337" s="5">
        <v>1</v>
      </c>
      <c r="S337" s="5">
        <v>0</v>
      </c>
      <c r="T337" s="5">
        <v>1</v>
      </c>
      <c r="U337" s="5">
        <v>1</v>
      </c>
      <c r="V337" s="5">
        <v>0</v>
      </c>
      <c r="W337" s="5">
        <v>0</v>
      </c>
      <c r="X337" s="5">
        <v>1</v>
      </c>
      <c r="Y337" s="5">
        <v>0</v>
      </c>
      <c r="Z337" s="5">
        <v>1</v>
      </c>
      <c r="AA337" s="5">
        <v>1</v>
      </c>
      <c r="AB337" s="5">
        <v>0</v>
      </c>
      <c r="AC337" s="5">
        <v>0</v>
      </c>
      <c r="AD337" s="56">
        <v>0</v>
      </c>
      <c r="AE337" s="20">
        <v>335</v>
      </c>
      <c r="AF337" s="142"/>
    </row>
    <row r="338" spans="1:32" ht="15" customHeight="1">
      <c r="A338" s="106"/>
      <c r="B338" s="94"/>
      <c r="C338" s="112"/>
      <c r="D338" s="173"/>
      <c r="E338" s="94"/>
      <c r="F338" s="94"/>
      <c r="G338" s="94"/>
      <c r="H338" s="94"/>
      <c r="I338" s="94"/>
      <c r="J338" s="173"/>
      <c r="K338" s="94"/>
      <c r="L338" s="94"/>
      <c r="M338" s="121"/>
      <c r="N338" s="94"/>
      <c r="O338" s="94"/>
      <c r="P338" s="94"/>
      <c r="Q338" s="160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124"/>
      <c r="AE338" s="20">
        <v>336</v>
      </c>
      <c r="AF338" s="144" t="s">
        <v>713</v>
      </c>
    </row>
    <row r="339" spans="1:32" ht="15" customHeight="1">
      <c r="A339" s="47" t="s">
        <v>753</v>
      </c>
      <c r="B339" s="4" t="s">
        <v>754</v>
      </c>
      <c r="C339" s="40" t="s">
        <v>649</v>
      </c>
      <c r="D339" s="34" t="s">
        <v>736</v>
      </c>
      <c r="E339" s="4" t="s">
        <v>57</v>
      </c>
      <c r="F339" s="4">
        <v>4</v>
      </c>
      <c r="G339" s="4">
        <v>2</v>
      </c>
      <c r="H339" s="4" t="s">
        <v>58</v>
      </c>
      <c r="I339" s="29" t="s">
        <v>755</v>
      </c>
      <c r="J339" s="34"/>
      <c r="K339" s="4"/>
      <c r="L339" s="4"/>
      <c r="M339" s="16">
        <v>1</v>
      </c>
      <c r="N339" s="5">
        <v>1</v>
      </c>
      <c r="O339" s="5"/>
      <c r="P339" s="5">
        <v>1</v>
      </c>
      <c r="Q339" s="11">
        <v>0</v>
      </c>
      <c r="R339" s="5">
        <v>1</v>
      </c>
      <c r="S339" s="5">
        <v>0</v>
      </c>
      <c r="T339" s="5">
        <v>1</v>
      </c>
      <c r="U339" s="5">
        <v>1</v>
      </c>
      <c r="V339" s="5">
        <v>0</v>
      </c>
      <c r="W339" s="5">
        <v>0</v>
      </c>
      <c r="X339" s="5">
        <v>2</v>
      </c>
      <c r="Y339" s="5">
        <v>0</v>
      </c>
      <c r="Z339" s="5">
        <v>1</v>
      </c>
      <c r="AA339" s="5">
        <v>1</v>
      </c>
      <c r="AB339" s="5">
        <v>0</v>
      </c>
      <c r="AC339" s="5">
        <v>0</v>
      </c>
      <c r="AD339" s="56">
        <v>0</v>
      </c>
      <c r="AE339" s="53">
        <v>337</v>
      </c>
      <c r="AF339" s="144" t="s">
        <v>716</v>
      </c>
    </row>
    <row r="340" spans="1:32" ht="15" customHeight="1">
      <c r="A340" s="47" t="s">
        <v>756</v>
      </c>
      <c r="B340" s="4" t="s">
        <v>757</v>
      </c>
      <c r="C340" s="40" t="s">
        <v>649</v>
      </c>
      <c r="D340" s="34" t="s">
        <v>736</v>
      </c>
      <c r="E340" s="4" t="s">
        <v>57</v>
      </c>
      <c r="F340" s="4">
        <v>6</v>
      </c>
      <c r="G340" s="4">
        <v>2</v>
      </c>
      <c r="H340" s="4" t="s">
        <v>58</v>
      </c>
      <c r="I340" s="24" t="str">
        <f t="shared" ref="I340:I345" si="29">A340</f>
        <v>A2.030.026</v>
      </c>
      <c r="J340" s="34"/>
      <c r="K340" s="4"/>
      <c r="L340" s="4"/>
      <c r="M340" s="16">
        <v>1</v>
      </c>
      <c r="N340" s="5">
        <v>1</v>
      </c>
      <c r="O340" s="5"/>
      <c r="P340" s="5">
        <v>1</v>
      </c>
      <c r="Q340" s="11">
        <v>0</v>
      </c>
      <c r="R340" s="5">
        <v>1</v>
      </c>
      <c r="S340" s="5">
        <v>0</v>
      </c>
      <c r="T340" s="5">
        <v>1</v>
      </c>
      <c r="U340" s="5">
        <v>1</v>
      </c>
      <c r="V340" s="5">
        <v>0</v>
      </c>
      <c r="W340" s="5">
        <v>0</v>
      </c>
      <c r="X340" s="5">
        <v>1</v>
      </c>
      <c r="Y340" s="5">
        <v>0</v>
      </c>
      <c r="Z340" s="5">
        <v>2</v>
      </c>
      <c r="AA340" s="5">
        <v>1</v>
      </c>
      <c r="AB340" s="5">
        <v>0</v>
      </c>
      <c r="AC340" s="5">
        <v>0</v>
      </c>
      <c r="AD340" s="56">
        <v>0</v>
      </c>
      <c r="AE340" s="53">
        <v>338</v>
      </c>
      <c r="AF340" s="142"/>
    </row>
    <row r="341" spans="1:32" ht="15" customHeight="1">
      <c r="A341" s="47" t="s">
        <v>758</v>
      </c>
      <c r="B341" s="4" t="s">
        <v>759</v>
      </c>
      <c r="C341" s="40" t="s">
        <v>649</v>
      </c>
      <c r="D341" s="34" t="s">
        <v>736</v>
      </c>
      <c r="E341" s="4" t="s">
        <v>57</v>
      </c>
      <c r="F341" s="4">
        <v>4</v>
      </c>
      <c r="G341" s="4">
        <v>2</v>
      </c>
      <c r="H341" s="4" t="s">
        <v>58</v>
      </c>
      <c r="I341" s="24" t="str">
        <f t="shared" si="29"/>
        <v>A2.030.036</v>
      </c>
      <c r="J341" s="34"/>
      <c r="K341" s="4"/>
      <c r="L341" s="4"/>
      <c r="M341" s="16">
        <v>1</v>
      </c>
      <c r="N341" s="5">
        <v>1</v>
      </c>
      <c r="O341" s="5"/>
      <c r="P341" s="5">
        <v>1</v>
      </c>
      <c r="Q341" s="11">
        <v>0</v>
      </c>
      <c r="R341" s="5">
        <v>1</v>
      </c>
      <c r="S341" s="5">
        <v>0</v>
      </c>
      <c r="T341" s="5">
        <v>1</v>
      </c>
      <c r="U341" s="5">
        <v>1</v>
      </c>
      <c r="V341" s="5">
        <v>0</v>
      </c>
      <c r="W341" s="5">
        <v>0</v>
      </c>
      <c r="X341" s="5">
        <v>1</v>
      </c>
      <c r="Y341" s="5">
        <v>0</v>
      </c>
      <c r="Z341" s="5">
        <v>1</v>
      </c>
      <c r="AA341" s="5">
        <v>1</v>
      </c>
      <c r="AB341" s="5">
        <v>0</v>
      </c>
      <c r="AC341" s="5">
        <v>0</v>
      </c>
      <c r="AD341" s="56">
        <v>0</v>
      </c>
      <c r="AE341" s="53">
        <v>339</v>
      </c>
      <c r="AF341" s="142"/>
    </row>
    <row r="342" spans="1:32" ht="15" customHeight="1">
      <c r="A342" s="47" t="s">
        <v>760</v>
      </c>
      <c r="B342" s="4" t="s">
        <v>761</v>
      </c>
      <c r="C342" s="40" t="s">
        <v>649</v>
      </c>
      <c r="D342" s="34" t="s">
        <v>736</v>
      </c>
      <c r="E342" s="4" t="s">
        <v>57</v>
      </c>
      <c r="F342" s="4">
        <v>5</v>
      </c>
      <c r="G342" s="4">
        <v>2</v>
      </c>
      <c r="H342" s="4" t="s">
        <v>58</v>
      </c>
      <c r="I342" s="24" t="str">
        <f t="shared" si="29"/>
        <v>A2.030.037</v>
      </c>
      <c r="J342" s="34"/>
      <c r="K342" s="4"/>
      <c r="L342" s="4"/>
      <c r="M342" s="16">
        <v>1</v>
      </c>
      <c r="N342" s="5">
        <v>1</v>
      </c>
      <c r="O342" s="5"/>
      <c r="P342" s="5">
        <v>1</v>
      </c>
      <c r="Q342" s="11">
        <v>0</v>
      </c>
      <c r="R342" s="5">
        <v>1</v>
      </c>
      <c r="S342" s="5">
        <v>0</v>
      </c>
      <c r="T342" s="5">
        <v>1</v>
      </c>
      <c r="U342" s="5">
        <v>1</v>
      </c>
      <c r="V342" s="5">
        <v>0</v>
      </c>
      <c r="W342" s="5">
        <v>0</v>
      </c>
      <c r="X342" s="5">
        <v>1</v>
      </c>
      <c r="Y342" s="5">
        <v>0</v>
      </c>
      <c r="Z342" s="5">
        <v>1</v>
      </c>
      <c r="AA342" s="5">
        <v>1</v>
      </c>
      <c r="AB342" s="5">
        <v>0</v>
      </c>
      <c r="AC342" s="5">
        <v>0</v>
      </c>
      <c r="AD342" s="56">
        <v>0</v>
      </c>
      <c r="AE342" s="20">
        <v>340</v>
      </c>
      <c r="AF342" s="142"/>
    </row>
    <row r="343" spans="1:32" ht="15">
      <c r="A343" s="47" t="s">
        <v>762</v>
      </c>
      <c r="B343" s="4" t="s">
        <v>763</v>
      </c>
      <c r="C343" s="40" t="s">
        <v>649</v>
      </c>
      <c r="D343" s="34" t="s">
        <v>736</v>
      </c>
      <c r="E343" s="4" t="s">
        <v>57</v>
      </c>
      <c r="F343" s="4">
        <v>5</v>
      </c>
      <c r="G343" s="4">
        <v>2</v>
      </c>
      <c r="H343" s="4" t="s">
        <v>58</v>
      </c>
      <c r="I343" s="24" t="str">
        <f t="shared" si="29"/>
        <v>A2.030.042</v>
      </c>
      <c r="J343" s="34"/>
      <c r="K343" s="4"/>
      <c r="L343" s="4"/>
      <c r="M343" s="16">
        <v>1</v>
      </c>
      <c r="N343" s="5">
        <v>1</v>
      </c>
      <c r="O343" s="5"/>
      <c r="P343" s="5">
        <v>1</v>
      </c>
      <c r="Q343" s="11">
        <v>0</v>
      </c>
      <c r="R343" s="5">
        <v>1</v>
      </c>
      <c r="S343" s="5">
        <v>0</v>
      </c>
      <c r="T343" s="5">
        <v>1</v>
      </c>
      <c r="U343" s="5">
        <v>1</v>
      </c>
      <c r="V343" s="5">
        <v>0</v>
      </c>
      <c r="W343" s="5">
        <v>0</v>
      </c>
      <c r="X343" s="5">
        <v>3</v>
      </c>
      <c r="Y343" s="5">
        <v>0</v>
      </c>
      <c r="Z343" s="5">
        <v>1</v>
      </c>
      <c r="AA343" s="5">
        <v>1</v>
      </c>
      <c r="AB343" s="5">
        <v>0</v>
      </c>
      <c r="AC343" s="5">
        <v>0</v>
      </c>
      <c r="AD343" s="56">
        <v>0</v>
      </c>
      <c r="AE343" s="20">
        <v>341</v>
      </c>
      <c r="AF343" s="142"/>
    </row>
    <row r="344" spans="1:32" ht="15">
      <c r="A344" s="47" t="s">
        <v>764</v>
      </c>
      <c r="B344" s="4" t="s">
        <v>765</v>
      </c>
      <c r="C344" s="40" t="s">
        <v>649</v>
      </c>
      <c r="D344" s="34" t="s">
        <v>736</v>
      </c>
      <c r="E344" s="4" t="s">
        <v>71</v>
      </c>
      <c r="F344" s="4">
        <v>2</v>
      </c>
      <c r="G344" s="4">
        <v>1</v>
      </c>
      <c r="H344" s="4" t="s">
        <v>72</v>
      </c>
      <c r="I344" s="24" t="str">
        <f t="shared" si="29"/>
        <v>S1.020.102</v>
      </c>
      <c r="J344" s="34"/>
      <c r="K344" s="4"/>
      <c r="L344" s="4"/>
      <c r="M344" s="16">
        <v>1</v>
      </c>
      <c r="N344" s="5">
        <v>1</v>
      </c>
      <c r="O344" s="5"/>
      <c r="P344" s="5">
        <v>1</v>
      </c>
      <c r="Q344" s="11">
        <v>0</v>
      </c>
      <c r="R344" s="5">
        <v>2</v>
      </c>
      <c r="S344" s="5">
        <v>0</v>
      </c>
      <c r="T344" s="5">
        <v>1</v>
      </c>
      <c r="U344" s="5">
        <v>1</v>
      </c>
      <c r="V344" s="5">
        <v>0</v>
      </c>
      <c r="W344" s="5">
        <v>0</v>
      </c>
      <c r="X344" s="5">
        <v>1</v>
      </c>
      <c r="Y344" s="5">
        <v>0</v>
      </c>
      <c r="Z344" s="5">
        <v>2</v>
      </c>
      <c r="AA344" s="5">
        <v>1</v>
      </c>
      <c r="AB344" s="5">
        <v>0</v>
      </c>
      <c r="AC344" s="5">
        <v>0</v>
      </c>
      <c r="AD344" s="56">
        <v>0</v>
      </c>
      <c r="AE344" s="53">
        <v>342</v>
      </c>
      <c r="AF344" s="142"/>
    </row>
    <row r="345" spans="1:32" ht="15">
      <c r="A345" s="47" t="s">
        <v>766</v>
      </c>
      <c r="B345" s="4" t="s">
        <v>767</v>
      </c>
      <c r="C345" s="40" t="s">
        <v>649</v>
      </c>
      <c r="D345" s="34" t="s">
        <v>736</v>
      </c>
      <c r="E345" s="4" t="s">
        <v>71</v>
      </c>
      <c r="F345" s="4">
        <v>2</v>
      </c>
      <c r="G345" s="4">
        <v>1</v>
      </c>
      <c r="H345" s="4" t="s">
        <v>72</v>
      </c>
      <c r="I345" s="24" t="str">
        <f t="shared" si="29"/>
        <v>S1.020.118</v>
      </c>
      <c r="J345" s="34"/>
      <c r="K345" s="4"/>
      <c r="L345" s="4"/>
      <c r="M345" s="16">
        <v>1</v>
      </c>
      <c r="N345" s="5">
        <v>1</v>
      </c>
      <c r="O345" s="5"/>
      <c r="P345" s="5">
        <v>1</v>
      </c>
      <c r="Q345" s="11">
        <v>0</v>
      </c>
      <c r="R345" s="5">
        <v>1</v>
      </c>
      <c r="S345" s="5">
        <v>0</v>
      </c>
      <c r="T345" s="5">
        <v>1</v>
      </c>
      <c r="U345" s="5">
        <v>1</v>
      </c>
      <c r="V345" s="5">
        <v>0</v>
      </c>
      <c r="W345" s="5">
        <v>0</v>
      </c>
      <c r="X345" s="5">
        <v>1</v>
      </c>
      <c r="Y345" s="5">
        <v>0</v>
      </c>
      <c r="Z345" s="5">
        <v>1</v>
      </c>
      <c r="AA345" s="5">
        <v>1</v>
      </c>
      <c r="AB345" s="5">
        <v>0</v>
      </c>
      <c r="AC345" s="5">
        <v>0</v>
      </c>
      <c r="AD345" s="56">
        <v>0</v>
      </c>
      <c r="AE345" s="53">
        <v>343</v>
      </c>
      <c r="AF345" s="142"/>
    </row>
    <row r="346" spans="1:32" ht="15" customHeight="1">
      <c r="A346" s="47" t="s">
        <v>768</v>
      </c>
      <c r="B346" s="4" t="s">
        <v>769</v>
      </c>
      <c r="C346" s="40" t="s">
        <v>649</v>
      </c>
      <c r="D346" s="34" t="s">
        <v>736</v>
      </c>
      <c r="E346" s="4" t="s">
        <v>71</v>
      </c>
      <c r="F346" s="4">
        <v>4</v>
      </c>
      <c r="G346" s="4">
        <v>1</v>
      </c>
      <c r="H346" s="4" t="s">
        <v>72</v>
      </c>
      <c r="I346" s="29" t="s">
        <v>770</v>
      </c>
      <c r="J346" s="34"/>
      <c r="K346" s="4"/>
      <c r="L346" s="4"/>
      <c r="M346" s="16">
        <v>1</v>
      </c>
      <c r="N346" s="5">
        <v>1</v>
      </c>
      <c r="O346" s="5"/>
      <c r="P346" s="5">
        <v>1</v>
      </c>
      <c r="Q346" s="11">
        <v>0</v>
      </c>
      <c r="R346" s="5">
        <v>2</v>
      </c>
      <c r="S346" s="5">
        <v>0</v>
      </c>
      <c r="T346" s="5">
        <v>1</v>
      </c>
      <c r="U346" s="5">
        <v>1</v>
      </c>
      <c r="V346" s="5">
        <v>0</v>
      </c>
      <c r="W346" s="5">
        <v>0</v>
      </c>
      <c r="X346" s="5">
        <v>4</v>
      </c>
      <c r="Y346" s="5">
        <v>0</v>
      </c>
      <c r="Z346" s="5">
        <v>2</v>
      </c>
      <c r="AA346" s="5">
        <v>1</v>
      </c>
      <c r="AB346" s="5">
        <v>0</v>
      </c>
      <c r="AC346" s="5">
        <v>0</v>
      </c>
      <c r="AD346" s="56">
        <v>0</v>
      </c>
      <c r="AE346" s="53">
        <v>344</v>
      </c>
      <c r="AF346" s="142"/>
    </row>
    <row r="347" spans="1:32" ht="15" customHeight="1">
      <c r="A347" s="47" t="s">
        <v>771</v>
      </c>
      <c r="B347" s="4" t="s">
        <v>772</v>
      </c>
      <c r="C347" s="40" t="s">
        <v>649</v>
      </c>
      <c r="D347" s="34" t="s">
        <v>736</v>
      </c>
      <c r="E347" s="4" t="s">
        <v>71</v>
      </c>
      <c r="F347" s="4">
        <v>4</v>
      </c>
      <c r="G347" s="4">
        <v>1</v>
      </c>
      <c r="H347" s="4" t="s">
        <v>72</v>
      </c>
      <c r="I347" s="24" t="str">
        <f>A347</f>
        <v>S1.030.108</v>
      </c>
      <c r="J347" s="34"/>
      <c r="K347" s="4"/>
      <c r="L347" s="4"/>
      <c r="M347" s="16">
        <v>1</v>
      </c>
      <c r="N347" s="5">
        <v>1</v>
      </c>
      <c r="O347" s="5"/>
      <c r="P347" s="5">
        <v>1</v>
      </c>
      <c r="Q347" s="11">
        <v>0</v>
      </c>
      <c r="R347" s="5">
        <v>1</v>
      </c>
      <c r="S347" s="5">
        <v>0</v>
      </c>
      <c r="T347" s="5">
        <v>1</v>
      </c>
      <c r="U347" s="5">
        <v>1</v>
      </c>
      <c r="V347" s="5">
        <v>0</v>
      </c>
      <c r="W347" s="5">
        <v>0</v>
      </c>
      <c r="X347" s="5">
        <v>1</v>
      </c>
      <c r="Y347" s="5">
        <v>0</v>
      </c>
      <c r="Z347" s="5">
        <v>1</v>
      </c>
      <c r="AA347" s="5">
        <v>1</v>
      </c>
      <c r="AB347" s="5">
        <v>0</v>
      </c>
      <c r="AC347" s="5">
        <v>0</v>
      </c>
      <c r="AD347" s="56">
        <v>0</v>
      </c>
      <c r="AE347" s="20">
        <v>345</v>
      </c>
      <c r="AF347" s="142"/>
    </row>
    <row r="348" spans="1:32" ht="15">
      <c r="A348" s="47" t="s">
        <v>773</v>
      </c>
      <c r="B348" s="4" t="s">
        <v>774</v>
      </c>
      <c r="C348" s="40" t="s">
        <v>649</v>
      </c>
      <c r="D348" s="34" t="s">
        <v>736</v>
      </c>
      <c r="E348" s="4" t="s">
        <v>71</v>
      </c>
      <c r="F348" s="4">
        <v>4</v>
      </c>
      <c r="G348" s="4">
        <v>1</v>
      </c>
      <c r="H348" s="4" t="s">
        <v>72</v>
      </c>
      <c r="I348" s="24" t="str">
        <f>A348</f>
        <v>S1.030.109</v>
      </c>
      <c r="J348" s="34"/>
      <c r="K348" s="4"/>
      <c r="L348" s="4"/>
      <c r="M348" s="16">
        <v>1</v>
      </c>
      <c r="N348" s="5">
        <v>1</v>
      </c>
      <c r="O348" s="5"/>
      <c r="P348" s="5">
        <v>1</v>
      </c>
      <c r="Q348" s="11">
        <v>0</v>
      </c>
      <c r="R348" s="5">
        <v>1</v>
      </c>
      <c r="S348" s="5">
        <v>0</v>
      </c>
      <c r="T348" s="5">
        <v>1</v>
      </c>
      <c r="U348" s="5">
        <v>1</v>
      </c>
      <c r="V348" s="5">
        <v>0</v>
      </c>
      <c r="W348" s="5">
        <v>0</v>
      </c>
      <c r="X348" s="5">
        <v>1</v>
      </c>
      <c r="Y348" s="5">
        <v>0</v>
      </c>
      <c r="Z348" s="5">
        <v>1</v>
      </c>
      <c r="AA348" s="5">
        <v>1</v>
      </c>
      <c r="AB348" s="5">
        <v>0</v>
      </c>
      <c r="AC348" s="5">
        <v>0</v>
      </c>
      <c r="AD348" s="56">
        <v>0</v>
      </c>
      <c r="AE348" s="20">
        <v>346</v>
      </c>
      <c r="AF348" s="142"/>
    </row>
    <row r="349" spans="1:32" ht="15" customHeight="1">
      <c r="A349" s="47" t="s">
        <v>775</v>
      </c>
      <c r="B349" s="4" t="s">
        <v>776</v>
      </c>
      <c r="C349" s="40" t="s">
        <v>649</v>
      </c>
      <c r="D349" s="34" t="s">
        <v>736</v>
      </c>
      <c r="E349" s="4" t="s">
        <v>83</v>
      </c>
      <c r="F349" s="4">
        <v>2</v>
      </c>
      <c r="G349" s="4">
        <v>1</v>
      </c>
      <c r="H349" s="4" t="s">
        <v>84</v>
      </c>
      <c r="I349" s="24" t="str">
        <f>A349</f>
        <v>S2.020.202</v>
      </c>
      <c r="J349" s="34"/>
      <c r="K349" s="4"/>
      <c r="L349" s="4"/>
      <c r="M349" s="16">
        <v>1</v>
      </c>
      <c r="N349" s="5">
        <v>1</v>
      </c>
      <c r="O349" s="5"/>
      <c r="P349" s="5">
        <v>1</v>
      </c>
      <c r="Q349" s="11">
        <v>0</v>
      </c>
      <c r="R349" s="5">
        <v>2</v>
      </c>
      <c r="S349" s="5">
        <v>0</v>
      </c>
      <c r="T349" s="5">
        <v>1</v>
      </c>
      <c r="U349" s="5">
        <v>1</v>
      </c>
      <c r="V349" s="5">
        <v>0</v>
      </c>
      <c r="W349" s="5">
        <v>0</v>
      </c>
      <c r="X349" s="5">
        <v>1</v>
      </c>
      <c r="Y349" s="5">
        <v>0</v>
      </c>
      <c r="Z349" s="5">
        <v>2</v>
      </c>
      <c r="AA349" s="5">
        <v>1</v>
      </c>
      <c r="AB349" s="5">
        <v>0</v>
      </c>
      <c r="AC349" s="5">
        <v>0</v>
      </c>
      <c r="AD349" s="56">
        <v>0</v>
      </c>
      <c r="AE349" s="53">
        <v>347</v>
      </c>
      <c r="AF349" s="142"/>
    </row>
    <row r="350" spans="1:32" ht="15" customHeight="1">
      <c r="A350" s="47" t="s">
        <v>777</v>
      </c>
      <c r="B350" s="4" t="s">
        <v>778</v>
      </c>
      <c r="C350" s="40" t="s">
        <v>649</v>
      </c>
      <c r="D350" s="34" t="s">
        <v>736</v>
      </c>
      <c r="E350" s="4" t="s">
        <v>83</v>
      </c>
      <c r="F350" s="4">
        <v>2</v>
      </c>
      <c r="G350" s="4">
        <v>1</v>
      </c>
      <c r="H350" s="4" t="s">
        <v>84</v>
      </c>
      <c r="I350" s="24" t="str">
        <f>A350</f>
        <v>S2.020.218</v>
      </c>
      <c r="J350" s="34"/>
      <c r="K350" s="4"/>
      <c r="L350" s="4"/>
      <c r="M350" s="16">
        <v>1</v>
      </c>
      <c r="N350" s="5">
        <v>1</v>
      </c>
      <c r="O350" s="5"/>
      <c r="P350" s="5">
        <v>1</v>
      </c>
      <c r="Q350" s="11">
        <v>0</v>
      </c>
      <c r="R350" s="5">
        <v>1</v>
      </c>
      <c r="S350" s="5">
        <v>0</v>
      </c>
      <c r="T350" s="5">
        <v>1</v>
      </c>
      <c r="U350" s="5">
        <v>1</v>
      </c>
      <c r="V350" s="5">
        <v>0</v>
      </c>
      <c r="W350" s="5">
        <v>0</v>
      </c>
      <c r="X350" s="5">
        <v>1</v>
      </c>
      <c r="Y350" s="5">
        <v>0</v>
      </c>
      <c r="Z350" s="5">
        <v>1</v>
      </c>
      <c r="AA350" s="5">
        <v>1</v>
      </c>
      <c r="AB350" s="5">
        <v>0</v>
      </c>
      <c r="AC350" s="5">
        <v>0</v>
      </c>
      <c r="AD350" s="56">
        <v>0</v>
      </c>
      <c r="AE350" s="53">
        <v>348</v>
      </c>
      <c r="AF350" s="142"/>
    </row>
    <row r="351" spans="1:32" ht="15" customHeight="1">
      <c r="A351" s="47" t="s">
        <v>779</v>
      </c>
      <c r="B351" s="158" t="s">
        <v>780</v>
      </c>
      <c r="C351" s="40" t="s">
        <v>649</v>
      </c>
      <c r="D351" s="34" t="s">
        <v>736</v>
      </c>
      <c r="E351" s="4" t="s">
        <v>83</v>
      </c>
      <c r="F351" s="4">
        <v>4</v>
      </c>
      <c r="G351" s="4">
        <v>1</v>
      </c>
      <c r="H351" s="4" t="s">
        <v>84</v>
      </c>
      <c r="I351" s="29" t="s">
        <v>781</v>
      </c>
      <c r="J351" s="34"/>
      <c r="K351" s="4"/>
      <c r="L351" s="4"/>
      <c r="M351" s="16">
        <v>1</v>
      </c>
      <c r="N351" s="5">
        <v>1</v>
      </c>
      <c r="O351" s="5"/>
      <c r="P351" s="5">
        <v>1</v>
      </c>
      <c r="Q351" s="11">
        <v>0</v>
      </c>
      <c r="R351" s="5">
        <v>2</v>
      </c>
      <c r="S351" s="5">
        <v>0</v>
      </c>
      <c r="T351" s="5">
        <v>1</v>
      </c>
      <c r="U351" s="5">
        <v>1</v>
      </c>
      <c r="V351" s="5">
        <v>0</v>
      </c>
      <c r="W351" s="5">
        <v>0</v>
      </c>
      <c r="X351" s="5">
        <v>4</v>
      </c>
      <c r="Y351" s="5">
        <v>0</v>
      </c>
      <c r="Z351" s="5">
        <v>2</v>
      </c>
      <c r="AA351" s="5">
        <v>1</v>
      </c>
      <c r="AB351" s="5">
        <v>0</v>
      </c>
      <c r="AC351" s="5">
        <v>0</v>
      </c>
      <c r="AD351" s="56">
        <v>0</v>
      </c>
      <c r="AE351" s="53">
        <v>349</v>
      </c>
      <c r="AF351" s="142"/>
    </row>
    <row r="352" spans="1:32" ht="15" customHeight="1">
      <c r="A352" s="47" t="s">
        <v>782</v>
      </c>
      <c r="B352" s="4" t="s">
        <v>783</v>
      </c>
      <c r="C352" s="40" t="s">
        <v>649</v>
      </c>
      <c r="D352" s="34" t="s">
        <v>736</v>
      </c>
      <c r="E352" s="4" t="s">
        <v>83</v>
      </c>
      <c r="F352" s="4">
        <v>4</v>
      </c>
      <c r="G352" s="4">
        <v>1</v>
      </c>
      <c r="H352" s="4" t="s">
        <v>84</v>
      </c>
      <c r="I352" s="24" t="str">
        <f>A352</f>
        <v>S2.030.208</v>
      </c>
      <c r="J352" s="34"/>
      <c r="K352" s="4"/>
      <c r="L352" s="4"/>
      <c r="M352" s="16">
        <v>1</v>
      </c>
      <c r="N352" s="5">
        <v>1</v>
      </c>
      <c r="O352" s="5"/>
      <c r="P352" s="5">
        <v>1</v>
      </c>
      <c r="Q352" s="11">
        <v>0</v>
      </c>
      <c r="R352" s="5">
        <v>1</v>
      </c>
      <c r="S352" s="5">
        <v>0</v>
      </c>
      <c r="T352" s="5">
        <v>1</v>
      </c>
      <c r="U352" s="5">
        <v>1</v>
      </c>
      <c r="V352" s="5">
        <v>0</v>
      </c>
      <c r="W352" s="5">
        <v>0</v>
      </c>
      <c r="X352" s="5">
        <v>1</v>
      </c>
      <c r="Y352" s="5">
        <v>0</v>
      </c>
      <c r="Z352" s="5">
        <v>1</v>
      </c>
      <c r="AA352" s="5">
        <v>1</v>
      </c>
      <c r="AB352" s="5">
        <v>0</v>
      </c>
      <c r="AC352" s="5">
        <v>0</v>
      </c>
      <c r="AD352" s="56">
        <v>0</v>
      </c>
      <c r="AE352" s="20">
        <v>350</v>
      </c>
      <c r="AF352" s="142"/>
    </row>
    <row r="353" spans="1:32" ht="15" customHeight="1">
      <c r="A353" s="47" t="s">
        <v>784</v>
      </c>
      <c r="B353" s="4" t="s">
        <v>785</v>
      </c>
      <c r="C353" s="40" t="s">
        <v>649</v>
      </c>
      <c r="D353" s="34" t="s">
        <v>736</v>
      </c>
      <c r="E353" s="4" t="s">
        <v>83</v>
      </c>
      <c r="F353" s="4">
        <v>4</v>
      </c>
      <c r="G353" s="4">
        <v>1</v>
      </c>
      <c r="H353" s="4" t="s">
        <v>84</v>
      </c>
      <c r="I353" s="24" t="str">
        <f>A353</f>
        <v>S2.030.209</v>
      </c>
      <c r="J353" s="34"/>
      <c r="K353" s="4"/>
      <c r="L353" s="4"/>
      <c r="M353" s="16">
        <v>1</v>
      </c>
      <c r="N353" s="5">
        <v>1</v>
      </c>
      <c r="O353" s="5"/>
      <c r="P353" s="5">
        <v>1</v>
      </c>
      <c r="Q353" s="11">
        <v>0</v>
      </c>
      <c r="R353" s="5">
        <v>1</v>
      </c>
      <c r="S353" s="5">
        <v>0</v>
      </c>
      <c r="T353" s="5">
        <v>1</v>
      </c>
      <c r="U353" s="5">
        <v>1</v>
      </c>
      <c r="V353" s="5">
        <v>0</v>
      </c>
      <c r="W353" s="5">
        <v>0</v>
      </c>
      <c r="X353" s="5">
        <v>1</v>
      </c>
      <c r="Y353" s="5">
        <v>0</v>
      </c>
      <c r="Z353" s="5">
        <v>1</v>
      </c>
      <c r="AA353" s="5">
        <v>1</v>
      </c>
      <c r="AB353" s="5">
        <v>0</v>
      </c>
      <c r="AC353" s="5">
        <v>0</v>
      </c>
      <c r="AD353" s="56">
        <v>0</v>
      </c>
      <c r="AE353" s="20">
        <v>351</v>
      </c>
      <c r="AF353" s="142"/>
    </row>
    <row r="354" spans="1:32" ht="15" customHeight="1">
      <c r="A354" s="47" t="s">
        <v>786</v>
      </c>
      <c r="B354" s="90" t="s">
        <v>787</v>
      </c>
      <c r="C354" s="40" t="s">
        <v>649</v>
      </c>
      <c r="D354" s="34" t="s">
        <v>736</v>
      </c>
      <c r="E354" s="4" t="s">
        <v>95</v>
      </c>
      <c r="F354" s="4">
        <v>2</v>
      </c>
      <c r="G354" s="4">
        <v>1</v>
      </c>
      <c r="H354" s="4" t="s">
        <v>96</v>
      </c>
      <c r="I354" s="24" t="str">
        <f>A354</f>
        <v>S3.020.302</v>
      </c>
      <c r="J354" s="34"/>
      <c r="K354" s="4"/>
      <c r="L354" s="4"/>
      <c r="M354" s="16">
        <v>1</v>
      </c>
      <c r="N354" s="5">
        <v>1</v>
      </c>
      <c r="O354" s="5"/>
      <c r="P354" s="5">
        <v>1</v>
      </c>
      <c r="Q354" s="11">
        <v>0</v>
      </c>
      <c r="R354" s="5">
        <v>2</v>
      </c>
      <c r="S354" s="5">
        <v>0</v>
      </c>
      <c r="T354" s="5">
        <v>1</v>
      </c>
      <c r="U354" s="5">
        <v>1</v>
      </c>
      <c r="V354" s="5">
        <v>0</v>
      </c>
      <c r="W354" s="5">
        <v>0</v>
      </c>
      <c r="X354" s="5">
        <v>1</v>
      </c>
      <c r="Y354" s="5">
        <v>0</v>
      </c>
      <c r="Z354" s="5">
        <v>2</v>
      </c>
      <c r="AA354" s="5">
        <v>1</v>
      </c>
      <c r="AB354" s="5">
        <v>0</v>
      </c>
      <c r="AC354" s="5">
        <v>0</v>
      </c>
      <c r="AD354" s="56">
        <v>0</v>
      </c>
      <c r="AE354" s="53">
        <v>352</v>
      </c>
      <c r="AF354" s="142"/>
    </row>
    <row r="355" spans="1:32" ht="15" customHeight="1">
      <c r="A355" s="47" t="s">
        <v>788</v>
      </c>
      <c r="B355" s="90" t="s">
        <v>789</v>
      </c>
      <c r="C355" s="40" t="s">
        <v>649</v>
      </c>
      <c r="D355" s="34" t="s">
        <v>736</v>
      </c>
      <c r="E355" s="4" t="s">
        <v>95</v>
      </c>
      <c r="F355" s="4">
        <v>2</v>
      </c>
      <c r="G355" s="4">
        <v>1</v>
      </c>
      <c r="H355" s="4" t="s">
        <v>96</v>
      </c>
      <c r="I355" s="24" t="str">
        <f>A355</f>
        <v>S3.020.318</v>
      </c>
      <c r="J355" s="34"/>
      <c r="K355" s="4"/>
      <c r="L355" s="4"/>
      <c r="M355" s="16">
        <v>1</v>
      </c>
      <c r="N355" s="5">
        <v>1</v>
      </c>
      <c r="O355" s="5"/>
      <c r="P355" s="5">
        <v>1</v>
      </c>
      <c r="Q355" s="11">
        <v>0</v>
      </c>
      <c r="R355" s="5">
        <v>1</v>
      </c>
      <c r="S355" s="5">
        <v>0</v>
      </c>
      <c r="T355" s="5">
        <v>1</v>
      </c>
      <c r="U355" s="5">
        <v>1</v>
      </c>
      <c r="V355" s="5">
        <v>0</v>
      </c>
      <c r="W355" s="5">
        <v>0</v>
      </c>
      <c r="X355" s="5">
        <v>1</v>
      </c>
      <c r="Y355" s="5">
        <v>0</v>
      </c>
      <c r="Z355" s="5">
        <v>1</v>
      </c>
      <c r="AA355" s="5">
        <v>1</v>
      </c>
      <c r="AB355" s="5">
        <v>0</v>
      </c>
      <c r="AC355" s="5">
        <v>0</v>
      </c>
      <c r="AD355" s="56">
        <v>0</v>
      </c>
      <c r="AE355" s="53">
        <v>353</v>
      </c>
      <c r="AF355" s="142"/>
    </row>
    <row r="356" spans="1:32" ht="15" customHeight="1">
      <c r="A356" s="47" t="s">
        <v>790</v>
      </c>
      <c r="B356" s="90" t="s">
        <v>791</v>
      </c>
      <c r="C356" s="40" t="s">
        <v>649</v>
      </c>
      <c r="D356" s="34" t="s">
        <v>736</v>
      </c>
      <c r="E356" s="4" t="s">
        <v>95</v>
      </c>
      <c r="F356" s="4">
        <v>4</v>
      </c>
      <c r="G356" s="4">
        <v>1</v>
      </c>
      <c r="H356" s="4" t="s">
        <v>96</v>
      </c>
      <c r="I356" s="29" t="s">
        <v>792</v>
      </c>
      <c r="J356" s="34"/>
      <c r="K356" s="4"/>
      <c r="L356" s="4"/>
      <c r="M356" s="16">
        <v>1</v>
      </c>
      <c r="N356" s="5">
        <v>1</v>
      </c>
      <c r="O356" s="5"/>
      <c r="P356" s="5">
        <v>1</v>
      </c>
      <c r="Q356" s="11">
        <v>0</v>
      </c>
      <c r="R356" s="5">
        <v>2</v>
      </c>
      <c r="S356" s="5">
        <v>0</v>
      </c>
      <c r="T356" s="5">
        <v>1</v>
      </c>
      <c r="U356" s="5">
        <v>1</v>
      </c>
      <c r="V356" s="5">
        <v>0</v>
      </c>
      <c r="W356" s="5">
        <v>0</v>
      </c>
      <c r="X356" s="5">
        <v>4</v>
      </c>
      <c r="Y356" s="5">
        <v>0</v>
      </c>
      <c r="Z356" s="5">
        <v>2</v>
      </c>
      <c r="AA356" s="5">
        <v>1</v>
      </c>
      <c r="AB356" s="5">
        <v>0</v>
      </c>
      <c r="AC356" s="5">
        <v>0</v>
      </c>
      <c r="AD356" s="56">
        <v>0</v>
      </c>
      <c r="AE356" s="53">
        <v>354</v>
      </c>
      <c r="AF356" s="142"/>
    </row>
    <row r="357" spans="1:32" ht="15" customHeight="1">
      <c r="A357" s="47" t="s">
        <v>793</v>
      </c>
      <c r="B357" s="90" t="s">
        <v>794</v>
      </c>
      <c r="C357" s="40" t="s">
        <v>649</v>
      </c>
      <c r="D357" s="34" t="s">
        <v>736</v>
      </c>
      <c r="E357" s="4" t="s">
        <v>95</v>
      </c>
      <c r="F357" s="4">
        <v>4</v>
      </c>
      <c r="G357" s="4">
        <v>1</v>
      </c>
      <c r="H357" s="4" t="s">
        <v>96</v>
      </c>
      <c r="I357" s="24" t="str">
        <f>A357</f>
        <v>S3.030.308</v>
      </c>
      <c r="J357" s="34"/>
      <c r="K357" s="4"/>
      <c r="L357" s="4"/>
      <c r="M357" s="16">
        <v>1</v>
      </c>
      <c r="N357" s="5">
        <v>1</v>
      </c>
      <c r="O357" s="5"/>
      <c r="P357" s="5">
        <v>1</v>
      </c>
      <c r="Q357" s="11">
        <v>0</v>
      </c>
      <c r="R357" s="5">
        <v>1</v>
      </c>
      <c r="S357" s="5">
        <v>0</v>
      </c>
      <c r="T357" s="5">
        <v>1</v>
      </c>
      <c r="U357" s="5">
        <v>1</v>
      </c>
      <c r="V357" s="5">
        <v>0</v>
      </c>
      <c r="W357" s="5">
        <v>0</v>
      </c>
      <c r="X357" s="5">
        <v>1</v>
      </c>
      <c r="Y357" s="5">
        <v>0</v>
      </c>
      <c r="Z357" s="5">
        <v>1</v>
      </c>
      <c r="AA357" s="5">
        <v>1</v>
      </c>
      <c r="AB357" s="5">
        <v>0</v>
      </c>
      <c r="AC357" s="5">
        <v>0</v>
      </c>
      <c r="AD357" s="56">
        <v>0</v>
      </c>
      <c r="AE357" s="20">
        <v>355</v>
      </c>
      <c r="AF357" s="142"/>
    </row>
    <row r="358" spans="1:32" ht="15" customHeight="1">
      <c r="A358" s="47" t="s">
        <v>795</v>
      </c>
      <c r="B358" s="90" t="s">
        <v>796</v>
      </c>
      <c r="C358" s="40" t="s">
        <v>649</v>
      </c>
      <c r="D358" s="34" t="s">
        <v>736</v>
      </c>
      <c r="E358" s="4" t="s">
        <v>95</v>
      </c>
      <c r="F358" s="4">
        <v>4</v>
      </c>
      <c r="G358" s="4">
        <v>1</v>
      </c>
      <c r="H358" s="4" t="s">
        <v>96</v>
      </c>
      <c r="I358" s="24" t="str">
        <f>A358</f>
        <v>S3.030.309</v>
      </c>
      <c r="J358" s="34"/>
      <c r="K358" s="4"/>
      <c r="L358" s="4"/>
      <c r="M358" s="16">
        <v>1</v>
      </c>
      <c r="N358" s="5">
        <v>1</v>
      </c>
      <c r="O358" s="5"/>
      <c r="P358" s="5">
        <v>1</v>
      </c>
      <c r="Q358" s="11">
        <v>0</v>
      </c>
      <c r="R358" s="5">
        <v>1</v>
      </c>
      <c r="S358" s="5">
        <v>0</v>
      </c>
      <c r="T358" s="5">
        <v>1</v>
      </c>
      <c r="U358" s="5">
        <v>1</v>
      </c>
      <c r="V358" s="5">
        <v>0</v>
      </c>
      <c r="W358" s="5">
        <v>0</v>
      </c>
      <c r="X358" s="5">
        <v>1</v>
      </c>
      <c r="Y358" s="5">
        <v>0</v>
      </c>
      <c r="Z358" s="5">
        <v>1</v>
      </c>
      <c r="AA358" s="5">
        <v>1</v>
      </c>
      <c r="AB358" s="5">
        <v>0</v>
      </c>
      <c r="AC358" s="5">
        <v>0</v>
      </c>
      <c r="AD358" s="56">
        <v>0</v>
      </c>
      <c r="AE358" s="20">
        <v>356</v>
      </c>
      <c r="AF358" s="142"/>
    </row>
    <row r="359" spans="1:32" ht="15">
      <c r="A359" s="47" t="s">
        <v>797</v>
      </c>
      <c r="B359" s="4" t="s">
        <v>798</v>
      </c>
      <c r="C359" s="40" t="s">
        <v>649</v>
      </c>
      <c r="D359" s="34" t="s">
        <v>736</v>
      </c>
      <c r="E359" s="4" t="s">
        <v>107</v>
      </c>
      <c r="F359" s="4">
        <v>2</v>
      </c>
      <c r="G359" s="4">
        <v>1</v>
      </c>
      <c r="H359" s="4" t="s">
        <v>108</v>
      </c>
      <c r="I359" s="24" t="str">
        <f>A359</f>
        <v>S4.020.402</v>
      </c>
      <c r="J359" s="34"/>
      <c r="K359" s="4"/>
      <c r="L359" s="4"/>
      <c r="M359" s="16">
        <v>1</v>
      </c>
      <c r="N359" s="5">
        <v>1</v>
      </c>
      <c r="O359" s="5"/>
      <c r="P359" s="5">
        <v>1</v>
      </c>
      <c r="Q359" s="11">
        <v>0</v>
      </c>
      <c r="R359" s="5">
        <v>2</v>
      </c>
      <c r="S359" s="5">
        <v>0</v>
      </c>
      <c r="T359" s="5">
        <v>1</v>
      </c>
      <c r="U359" s="5">
        <v>1</v>
      </c>
      <c r="V359" s="5">
        <v>0</v>
      </c>
      <c r="W359" s="5">
        <v>0</v>
      </c>
      <c r="X359" s="5">
        <v>1</v>
      </c>
      <c r="Y359" s="5">
        <v>0</v>
      </c>
      <c r="Z359" s="5">
        <v>2</v>
      </c>
      <c r="AA359" s="5">
        <v>1</v>
      </c>
      <c r="AB359" s="5">
        <v>0</v>
      </c>
      <c r="AC359" s="5">
        <v>0</v>
      </c>
      <c r="AD359" s="56">
        <v>0</v>
      </c>
      <c r="AE359" s="53">
        <v>357</v>
      </c>
      <c r="AF359" s="142"/>
    </row>
    <row r="360" spans="1:32" ht="15">
      <c r="A360" s="47" t="s">
        <v>799</v>
      </c>
      <c r="B360" s="4" t="s">
        <v>800</v>
      </c>
      <c r="C360" s="40" t="s">
        <v>649</v>
      </c>
      <c r="D360" s="34" t="s">
        <v>736</v>
      </c>
      <c r="E360" s="4" t="s">
        <v>107</v>
      </c>
      <c r="F360" s="4">
        <v>2</v>
      </c>
      <c r="G360" s="4">
        <v>1</v>
      </c>
      <c r="H360" s="4" t="s">
        <v>108</v>
      </c>
      <c r="I360" s="24" t="str">
        <f>A360</f>
        <v>S4.020.418</v>
      </c>
      <c r="J360" s="34"/>
      <c r="K360" s="4"/>
      <c r="L360" s="4"/>
      <c r="M360" s="16">
        <v>1</v>
      </c>
      <c r="N360" s="5">
        <v>1</v>
      </c>
      <c r="O360" s="5"/>
      <c r="P360" s="5">
        <v>1</v>
      </c>
      <c r="Q360" s="11">
        <v>0</v>
      </c>
      <c r="R360" s="5">
        <v>1</v>
      </c>
      <c r="S360" s="5">
        <v>0</v>
      </c>
      <c r="T360" s="5">
        <v>1</v>
      </c>
      <c r="U360" s="5">
        <v>1</v>
      </c>
      <c r="V360" s="5">
        <v>0</v>
      </c>
      <c r="W360" s="5">
        <v>0</v>
      </c>
      <c r="X360" s="5">
        <v>1</v>
      </c>
      <c r="Y360" s="5">
        <v>0</v>
      </c>
      <c r="Z360" s="5">
        <v>1</v>
      </c>
      <c r="AA360" s="5">
        <v>1</v>
      </c>
      <c r="AB360" s="5">
        <v>0</v>
      </c>
      <c r="AC360" s="5">
        <v>0</v>
      </c>
      <c r="AD360" s="56">
        <v>0</v>
      </c>
      <c r="AE360" s="53">
        <v>358</v>
      </c>
      <c r="AF360" s="142"/>
    </row>
    <row r="361" spans="1:32" ht="15">
      <c r="A361" s="47" t="s">
        <v>801</v>
      </c>
      <c r="B361" s="4" t="s">
        <v>802</v>
      </c>
      <c r="C361" s="40" t="s">
        <v>649</v>
      </c>
      <c r="D361" s="34" t="s">
        <v>736</v>
      </c>
      <c r="E361" s="4" t="s">
        <v>107</v>
      </c>
      <c r="F361" s="4">
        <v>4</v>
      </c>
      <c r="G361" s="4">
        <v>1</v>
      </c>
      <c r="H361" s="4" t="s">
        <v>108</v>
      </c>
      <c r="I361" s="29" t="s">
        <v>803</v>
      </c>
      <c r="J361" s="34"/>
      <c r="K361" s="4"/>
      <c r="L361" s="4"/>
      <c r="M361" s="16">
        <v>1</v>
      </c>
      <c r="N361" s="5">
        <v>1</v>
      </c>
      <c r="O361" s="5"/>
      <c r="P361" s="5">
        <v>1</v>
      </c>
      <c r="Q361" s="11">
        <v>0</v>
      </c>
      <c r="R361" s="5">
        <v>2</v>
      </c>
      <c r="S361" s="5">
        <v>0</v>
      </c>
      <c r="T361" s="5">
        <v>1</v>
      </c>
      <c r="U361" s="5">
        <v>1</v>
      </c>
      <c r="V361" s="5">
        <v>0</v>
      </c>
      <c r="W361" s="5">
        <v>0</v>
      </c>
      <c r="X361" s="5">
        <v>4</v>
      </c>
      <c r="Y361" s="5">
        <v>0</v>
      </c>
      <c r="Z361" s="5">
        <v>2</v>
      </c>
      <c r="AA361" s="5">
        <v>1</v>
      </c>
      <c r="AB361" s="5">
        <v>0</v>
      </c>
      <c r="AC361" s="5">
        <v>0</v>
      </c>
      <c r="AD361" s="56">
        <v>0</v>
      </c>
      <c r="AE361" s="53">
        <v>359</v>
      </c>
      <c r="AF361" s="142"/>
    </row>
    <row r="362" spans="1:32" ht="15">
      <c r="A362" s="47" t="s">
        <v>804</v>
      </c>
      <c r="B362" s="4" t="s">
        <v>805</v>
      </c>
      <c r="C362" s="40" t="s">
        <v>649</v>
      </c>
      <c r="D362" s="34" t="s">
        <v>736</v>
      </c>
      <c r="E362" s="4" t="s">
        <v>107</v>
      </c>
      <c r="F362" s="4">
        <v>4</v>
      </c>
      <c r="G362" s="4">
        <v>1</v>
      </c>
      <c r="H362" s="4" t="s">
        <v>108</v>
      </c>
      <c r="I362" s="24" t="str">
        <f>A362</f>
        <v>S4.030.408</v>
      </c>
      <c r="J362" s="34"/>
      <c r="K362" s="4"/>
      <c r="L362" s="4"/>
      <c r="M362" s="16">
        <v>1</v>
      </c>
      <c r="N362" s="5">
        <v>1</v>
      </c>
      <c r="O362" s="5"/>
      <c r="P362" s="5">
        <v>1</v>
      </c>
      <c r="Q362" s="11">
        <v>0</v>
      </c>
      <c r="R362" s="5">
        <v>1</v>
      </c>
      <c r="S362" s="5">
        <v>0</v>
      </c>
      <c r="T362" s="5">
        <v>1</v>
      </c>
      <c r="U362" s="5">
        <v>1</v>
      </c>
      <c r="V362" s="5">
        <v>0</v>
      </c>
      <c r="W362" s="5">
        <v>0</v>
      </c>
      <c r="X362" s="5">
        <v>1</v>
      </c>
      <c r="Y362" s="5">
        <v>0</v>
      </c>
      <c r="Z362" s="5">
        <v>1</v>
      </c>
      <c r="AA362" s="5">
        <v>1</v>
      </c>
      <c r="AB362" s="5">
        <v>0</v>
      </c>
      <c r="AC362" s="5">
        <v>0</v>
      </c>
      <c r="AD362" s="56">
        <v>0</v>
      </c>
      <c r="AE362" s="20">
        <v>360</v>
      </c>
      <c r="AF362" s="142"/>
    </row>
    <row r="363" spans="1:32" ht="15" customHeight="1">
      <c r="A363" s="47" t="s">
        <v>806</v>
      </c>
      <c r="B363" s="4" t="s">
        <v>807</v>
      </c>
      <c r="C363" s="40" t="s">
        <v>649</v>
      </c>
      <c r="D363" s="34" t="s">
        <v>736</v>
      </c>
      <c r="E363" s="4" t="s">
        <v>107</v>
      </c>
      <c r="F363" s="4">
        <v>4</v>
      </c>
      <c r="G363" s="4">
        <v>1</v>
      </c>
      <c r="H363" s="4" t="s">
        <v>108</v>
      </c>
      <c r="I363" s="24" t="str">
        <f>A363</f>
        <v>S4.030.409</v>
      </c>
      <c r="J363" s="34"/>
      <c r="K363" s="4"/>
      <c r="L363" s="4"/>
      <c r="M363" s="16">
        <v>1</v>
      </c>
      <c r="N363" s="5">
        <v>1</v>
      </c>
      <c r="O363" s="5"/>
      <c r="P363" s="5">
        <v>1</v>
      </c>
      <c r="Q363" s="11">
        <v>0</v>
      </c>
      <c r="R363" s="5">
        <v>1</v>
      </c>
      <c r="S363" s="5">
        <v>0</v>
      </c>
      <c r="T363" s="5">
        <v>1</v>
      </c>
      <c r="U363" s="5">
        <v>1</v>
      </c>
      <c r="V363" s="5">
        <v>0</v>
      </c>
      <c r="W363" s="5">
        <v>0</v>
      </c>
      <c r="X363" s="5">
        <v>1</v>
      </c>
      <c r="Y363" s="5">
        <v>0</v>
      </c>
      <c r="Z363" s="5">
        <v>1</v>
      </c>
      <c r="AA363" s="5">
        <v>1</v>
      </c>
      <c r="AB363" s="5">
        <v>0</v>
      </c>
      <c r="AC363" s="5">
        <v>0</v>
      </c>
      <c r="AD363" s="56">
        <v>0</v>
      </c>
      <c r="AE363" s="20">
        <v>361</v>
      </c>
      <c r="AF363" s="142"/>
    </row>
    <row r="364" spans="1:32" ht="15">
      <c r="A364" s="47" t="s">
        <v>808</v>
      </c>
      <c r="B364" s="4" t="s">
        <v>809</v>
      </c>
      <c r="C364" s="40" t="s">
        <v>649</v>
      </c>
      <c r="D364" s="34" t="s">
        <v>736</v>
      </c>
      <c r="E364" s="4" t="s">
        <v>119</v>
      </c>
      <c r="F364" s="4">
        <v>2</v>
      </c>
      <c r="G364" s="4">
        <v>1</v>
      </c>
      <c r="H364" s="4" t="s">
        <v>120</v>
      </c>
      <c r="I364" s="24" t="str">
        <f>A364</f>
        <v>S5.020.502</v>
      </c>
      <c r="J364" s="34"/>
      <c r="K364" s="4"/>
      <c r="L364" s="4"/>
      <c r="M364" s="16">
        <v>1</v>
      </c>
      <c r="N364" s="5">
        <v>1</v>
      </c>
      <c r="O364" s="5"/>
      <c r="P364" s="5">
        <v>1</v>
      </c>
      <c r="Q364" s="11">
        <v>0</v>
      </c>
      <c r="R364" s="5">
        <v>2</v>
      </c>
      <c r="S364" s="5">
        <v>0</v>
      </c>
      <c r="T364" s="5">
        <v>1</v>
      </c>
      <c r="U364" s="5">
        <v>1</v>
      </c>
      <c r="V364" s="5">
        <v>0</v>
      </c>
      <c r="W364" s="5">
        <v>0</v>
      </c>
      <c r="X364" s="5">
        <v>1</v>
      </c>
      <c r="Y364" s="5">
        <v>0</v>
      </c>
      <c r="Z364" s="5">
        <v>2</v>
      </c>
      <c r="AA364" s="5">
        <v>1</v>
      </c>
      <c r="AB364" s="5">
        <v>0</v>
      </c>
      <c r="AC364" s="5">
        <v>0</v>
      </c>
      <c r="AD364" s="56">
        <v>0</v>
      </c>
      <c r="AE364" s="53">
        <v>362</v>
      </c>
      <c r="AF364" s="142"/>
    </row>
    <row r="365" spans="1:32" ht="15">
      <c r="A365" s="47" t="s">
        <v>810</v>
      </c>
      <c r="B365" s="4" t="s">
        <v>811</v>
      </c>
      <c r="C365" s="40" t="s">
        <v>649</v>
      </c>
      <c r="D365" s="34" t="s">
        <v>736</v>
      </c>
      <c r="E365" s="4" t="s">
        <v>119</v>
      </c>
      <c r="F365" s="4">
        <v>2</v>
      </c>
      <c r="G365" s="4">
        <v>1</v>
      </c>
      <c r="H365" s="4" t="s">
        <v>120</v>
      </c>
      <c r="I365" s="24" t="str">
        <f>A365</f>
        <v>S5.020.518</v>
      </c>
      <c r="J365" s="34"/>
      <c r="K365" s="4"/>
      <c r="L365" s="4"/>
      <c r="M365" s="16">
        <v>1</v>
      </c>
      <c r="N365" s="5">
        <v>1</v>
      </c>
      <c r="O365" s="5"/>
      <c r="P365" s="5">
        <v>1</v>
      </c>
      <c r="Q365" s="11">
        <v>0</v>
      </c>
      <c r="R365" s="5">
        <v>1</v>
      </c>
      <c r="S365" s="5">
        <v>0</v>
      </c>
      <c r="T365" s="5">
        <v>1</v>
      </c>
      <c r="U365" s="5">
        <v>1</v>
      </c>
      <c r="V365" s="5">
        <v>0</v>
      </c>
      <c r="W365" s="5">
        <v>0</v>
      </c>
      <c r="X365" s="5">
        <v>1</v>
      </c>
      <c r="Y365" s="5">
        <v>0</v>
      </c>
      <c r="Z365" s="5">
        <v>1</v>
      </c>
      <c r="AA365" s="5">
        <v>1</v>
      </c>
      <c r="AB365" s="5">
        <v>0</v>
      </c>
      <c r="AC365" s="5">
        <v>0</v>
      </c>
      <c r="AD365" s="56">
        <v>0</v>
      </c>
      <c r="AE365" s="53">
        <v>363</v>
      </c>
      <c r="AF365" s="142"/>
    </row>
    <row r="366" spans="1:32" ht="15" customHeight="1">
      <c r="A366" s="47" t="s">
        <v>812</v>
      </c>
      <c r="B366" s="4" t="s">
        <v>813</v>
      </c>
      <c r="C366" s="40" t="s">
        <v>649</v>
      </c>
      <c r="D366" s="34" t="s">
        <v>736</v>
      </c>
      <c r="E366" s="4" t="s">
        <v>119</v>
      </c>
      <c r="F366" s="4">
        <v>4</v>
      </c>
      <c r="G366" s="4">
        <v>1</v>
      </c>
      <c r="H366" s="4" t="s">
        <v>120</v>
      </c>
      <c r="I366" s="29" t="s">
        <v>814</v>
      </c>
      <c r="J366" s="34"/>
      <c r="K366" s="4"/>
      <c r="L366" s="4"/>
      <c r="M366" s="16">
        <v>1</v>
      </c>
      <c r="N366" s="5">
        <v>1</v>
      </c>
      <c r="O366" s="5"/>
      <c r="P366" s="5">
        <v>1</v>
      </c>
      <c r="Q366" s="11">
        <v>0</v>
      </c>
      <c r="R366" s="5">
        <v>2</v>
      </c>
      <c r="S366" s="5">
        <v>0</v>
      </c>
      <c r="T366" s="5">
        <v>1</v>
      </c>
      <c r="U366" s="5">
        <v>1</v>
      </c>
      <c r="V366" s="5">
        <v>0</v>
      </c>
      <c r="W366" s="5">
        <v>0</v>
      </c>
      <c r="X366" s="5">
        <v>4</v>
      </c>
      <c r="Y366" s="5">
        <v>0</v>
      </c>
      <c r="Z366" s="5">
        <v>2</v>
      </c>
      <c r="AA366" s="5">
        <v>1</v>
      </c>
      <c r="AB366" s="5">
        <v>0</v>
      </c>
      <c r="AC366" s="5">
        <v>0</v>
      </c>
      <c r="AD366" s="56">
        <v>0</v>
      </c>
      <c r="AE366" s="53">
        <v>364</v>
      </c>
      <c r="AF366" s="142"/>
    </row>
    <row r="367" spans="1:32" ht="15">
      <c r="A367" s="47" t="s">
        <v>815</v>
      </c>
      <c r="B367" s="4" t="s">
        <v>816</v>
      </c>
      <c r="C367" s="40" t="s">
        <v>649</v>
      </c>
      <c r="D367" s="34" t="s">
        <v>736</v>
      </c>
      <c r="E367" s="4" t="s">
        <v>119</v>
      </c>
      <c r="F367" s="4">
        <v>4</v>
      </c>
      <c r="G367" s="4">
        <v>1</v>
      </c>
      <c r="H367" s="4" t="s">
        <v>120</v>
      </c>
      <c r="I367" s="24" t="str">
        <f>A367</f>
        <v>S5.030.508</v>
      </c>
      <c r="J367" s="34"/>
      <c r="K367" s="4"/>
      <c r="L367" s="4"/>
      <c r="M367" s="16">
        <v>1</v>
      </c>
      <c r="N367" s="5">
        <v>1</v>
      </c>
      <c r="O367" s="5"/>
      <c r="P367" s="5">
        <v>1</v>
      </c>
      <c r="Q367" s="11">
        <v>0</v>
      </c>
      <c r="R367" s="5">
        <v>1</v>
      </c>
      <c r="S367" s="5">
        <v>0</v>
      </c>
      <c r="T367" s="5">
        <v>1</v>
      </c>
      <c r="U367" s="5">
        <v>1</v>
      </c>
      <c r="V367" s="5">
        <v>0</v>
      </c>
      <c r="W367" s="5">
        <v>0</v>
      </c>
      <c r="X367" s="5">
        <v>1</v>
      </c>
      <c r="Y367" s="5">
        <v>0</v>
      </c>
      <c r="Z367" s="5">
        <v>1</v>
      </c>
      <c r="AA367" s="5">
        <v>1</v>
      </c>
      <c r="AB367" s="5">
        <v>0</v>
      </c>
      <c r="AC367" s="5">
        <v>0</v>
      </c>
      <c r="AD367" s="56">
        <v>0</v>
      </c>
      <c r="AE367" s="20">
        <v>365</v>
      </c>
      <c r="AF367" s="142"/>
    </row>
    <row r="368" spans="1:32" ht="15">
      <c r="A368" s="47" t="s">
        <v>817</v>
      </c>
      <c r="B368" s="4" t="s">
        <v>818</v>
      </c>
      <c r="C368" s="40" t="s">
        <v>649</v>
      </c>
      <c r="D368" s="34" t="s">
        <v>736</v>
      </c>
      <c r="E368" s="4" t="s">
        <v>119</v>
      </c>
      <c r="F368" s="4">
        <v>4</v>
      </c>
      <c r="G368" s="4">
        <v>1</v>
      </c>
      <c r="H368" s="4" t="s">
        <v>120</v>
      </c>
      <c r="I368" s="24" t="str">
        <f>A368</f>
        <v>S5.030.509</v>
      </c>
      <c r="J368" s="34"/>
      <c r="K368" s="4"/>
      <c r="L368" s="4"/>
      <c r="M368" s="16">
        <v>1</v>
      </c>
      <c r="N368" s="5">
        <v>1</v>
      </c>
      <c r="O368" s="5"/>
      <c r="P368" s="5">
        <v>1</v>
      </c>
      <c r="Q368" s="5">
        <v>0</v>
      </c>
      <c r="R368" s="5">
        <v>1</v>
      </c>
      <c r="S368" s="5">
        <v>0</v>
      </c>
      <c r="T368" s="5">
        <v>1</v>
      </c>
      <c r="U368" s="5">
        <v>1</v>
      </c>
      <c r="V368" s="5">
        <v>0</v>
      </c>
      <c r="W368" s="5">
        <v>0</v>
      </c>
      <c r="X368" s="5">
        <v>1</v>
      </c>
      <c r="Y368" s="5">
        <v>0</v>
      </c>
      <c r="Z368" s="5">
        <v>1</v>
      </c>
      <c r="AA368" s="5">
        <v>1</v>
      </c>
      <c r="AB368" s="5">
        <v>0</v>
      </c>
      <c r="AC368" s="5">
        <v>0</v>
      </c>
      <c r="AD368" s="56">
        <v>0</v>
      </c>
      <c r="AE368" s="20">
        <v>366</v>
      </c>
      <c r="AF368" s="142"/>
    </row>
    <row r="369" spans="1:32" ht="15">
      <c r="A369" s="47" t="s">
        <v>819</v>
      </c>
      <c r="B369" s="4" t="s">
        <v>820</v>
      </c>
      <c r="C369" s="40" t="s">
        <v>649</v>
      </c>
      <c r="D369" s="34" t="s">
        <v>736</v>
      </c>
      <c r="E369" s="4" t="s">
        <v>131</v>
      </c>
      <c r="F369" s="4">
        <v>2</v>
      </c>
      <c r="G369" s="4">
        <v>1</v>
      </c>
      <c r="H369" s="4" t="s">
        <v>132</v>
      </c>
      <c r="I369" s="24" t="str">
        <f>A369</f>
        <v>S6.020.602</v>
      </c>
      <c r="J369" s="34"/>
      <c r="K369" s="4"/>
      <c r="L369" s="4"/>
      <c r="M369" s="16">
        <v>1</v>
      </c>
      <c r="N369" s="5">
        <v>1</v>
      </c>
      <c r="O369" s="5"/>
      <c r="P369" s="5">
        <v>1</v>
      </c>
      <c r="Q369" s="5">
        <v>0</v>
      </c>
      <c r="R369" s="5">
        <v>2</v>
      </c>
      <c r="S369" s="5">
        <v>0</v>
      </c>
      <c r="T369" s="5">
        <v>1</v>
      </c>
      <c r="U369" s="5">
        <v>1</v>
      </c>
      <c r="V369" s="5">
        <v>0</v>
      </c>
      <c r="W369" s="5">
        <v>0</v>
      </c>
      <c r="X369" s="5">
        <v>1</v>
      </c>
      <c r="Y369" s="5">
        <v>0</v>
      </c>
      <c r="Z369" s="5">
        <v>2</v>
      </c>
      <c r="AA369" s="5">
        <v>1</v>
      </c>
      <c r="AB369" s="5">
        <v>0</v>
      </c>
      <c r="AC369" s="5">
        <v>0</v>
      </c>
      <c r="AD369" s="56">
        <v>0</v>
      </c>
      <c r="AE369" s="53">
        <v>367</v>
      </c>
      <c r="AF369" s="142"/>
    </row>
    <row r="370" spans="1:32" ht="15" customHeight="1">
      <c r="A370" s="47" t="s">
        <v>821</v>
      </c>
      <c r="B370" s="4" t="s">
        <v>822</v>
      </c>
      <c r="C370" s="40" t="s">
        <v>649</v>
      </c>
      <c r="D370" s="34" t="s">
        <v>736</v>
      </c>
      <c r="E370" s="4" t="s">
        <v>131</v>
      </c>
      <c r="F370" s="4">
        <v>2</v>
      </c>
      <c r="G370" s="4">
        <v>1</v>
      </c>
      <c r="H370" s="4" t="s">
        <v>132</v>
      </c>
      <c r="I370" s="24" t="str">
        <f>A370</f>
        <v>S6.020.618</v>
      </c>
      <c r="J370" s="34"/>
      <c r="K370" s="4"/>
      <c r="L370" s="4"/>
      <c r="M370" s="16">
        <v>1</v>
      </c>
      <c r="N370" s="5">
        <v>1</v>
      </c>
      <c r="O370" s="5"/>
      <c r="P370" s="5">
        <v>1</v>
      </c>
      <c r="Q370" s="5">
        <v>0</v>
      </c>
      <c r="R370" s="5">
        <v>1</v>
      </c>
      <c r="S370" s="5">
        <v>0</v>
      </c>
      <c r="T370" s="5">
        <v>1</v>
      </c>
      <c r="U370" s="5">
        <v>1</v>
      </c>
      <c r="V370" s="5">
        <v>0</v>
      </c>
      <c r="W370" s="5">
        <v>0</v>
      </c>
      <c r="X370" s="5">
        <v>1</v>
      </c>
      <c r="Y370" s="5">
        <v>0</v>
      </c>
      <c r="Z370" s="5">
        <v>1</v>
      </c>
      <c r="AA370" s="5">
        <v>1</v>
      </c>
      <c r="AB370" s="5">
        <v>0</v>
      </c>
      <c r="AC370" s="5">
        <v>0</v>
      </c>
      <c r="AD370" s="56">
        <v>0</v>
      </c>
      <c r="AE370" s="53">
        <v>368</v>
      </c>
      <c r="AF370" s="142"/>
    </row>
    <row r="371" spans="1:32" ht="15" customHeight="1">
      <c r="A371" s="47" t="s">
        <v>823</v>
      </c>
      <c r="B371" s="4" t="s">
        <v>824</v>
      </c>
      <c r="C371" s="40" t="s">
        <v>649</v>
      </c>
      <c r="D371" s="34" t="s">
        <v>736</v>
      </c>
      <c r="E371" s="4" t="s">
        <v>131</v>
      </c>
      <c r="F371" s="4">
        <v>4</v>
      </c>
      <c r="G371" s="4">
        <v>1</v>
      </c>
      <c r="H371" s="4" t="s">
        <v>132</v>
      </c>
      <c r="I371" s="29" t="s">
        <v>825</v>
      </c>
      <c r="J371" s="34"/>
      <c r="K371" s="4"/>
      <c r="L371" s="4"/>
      <c r="M371" s="16">
        <v>1</v>
      </c>
      <c r="N371" s="5">
        <v>1</v>
      </c>
      <c r="O371" s="5"/>
      <c r="P371" s="5">
        <v>1</v>
      </c>
      <c r="Q371" s="5">
        <v>0</v>
      </c>
      <c r="R371" s="5">
        <v>2</v>
      </c>
      <c r="S371" s="5">
        <v>0</v>
      </c>
      <c r="T371" s="5">
        <v>1</v>
      </c>
      <c r="U371" s="5">
        <v>1</v>
      </c>
      <c r="V371" s="5">
        <v>0</v>
      </c>
      <c r="W371" s="5">
        <v>0</v>
      </c>
      <c r="X371" s="5">
        <v>4</v>
      </c>
      <c r="Y371" s="5">
        <v>0</v>
      </c>
      <c r="Z371" s="5">
        <v>2</v>
      </c>
      <c r="AA371" s="5">
        <v>1</v>
      </c>
      <c r="AB371" s="5">
        <v>0</v>
      </c>
      <c r="AC371" s="5">
        <v>0</v>
      </c>
      <c r="AD371" s="56">
        <v>0</v>
      </c>
      <c r="AE371" s="53">
        <v>369</v>
      </c>
      <c r="AF371" s="142"/>
    </row>
    <row r="372" spans="1:32" ht="15" customHeight="1">
      <c r="A372" s="47" t="s">
        <v>826</v>
      </c>
      <c r="B372" s="4" t="s">
        <v>827</v>
      </c>
      <c r="C372" s="40" t="s">
        <v>649</v>
      </c>
      <c r="D372" s="34" t="s">
        <v>736</v>
      </c>
      <c r="E372" s="4" t="s">
        <v>131</v>
      </c>
      <c r="F372" s="4">
        <v>4</v>
      </c>
      <c r="G372" s="4">
        <v>1</v>
      </c>
      <c r="H372" s="4" t="s">
        <v>132</v>
      </c>
      <c r="I372" s="24" t="str">
        <f>A372</f>
        <v>S6.030.608</v>
      </c>
      <c r="J372" s="34"/>
      <c r="K372" s="4"/>
      <c r="L372" s="4"/>
      <c r="M372" s="16">
        <v>1</v>
      </c>
      <c r="N372" s="5">
        <v>1</v>
      </c>
      <c r="O372" s="5"/>
      <c r="P372" s="5">
        <v>1</v>
      </c>
      <c r="Q372" s="5">
        <v>0</v>
      </c>
      <c r="R372" s="5">
        <v>1</v>
      </c>
      <c r="S372" s="5">
        <v>0</v>
      </c>
      <c r="T372" s="5">
        <v>1</v>
      </c>
      <c r="U372" s="5">
        <v>1</v>
      </c>
      <c r="V372" s="5">
        <v>0</v>
      </c>
      <c r="W372" s="5">
        <v>0</v>
      </c>
      <c r="X372" s="5">
        <v>1</v>
      </c>
      <c r="Y372" s="5">
        <v>0</v>
      </c>
      <c r="Z372" s="5">
        <v>1</v>
      </c>
      <c r="AA372" s="5">
        <v>1</v>
      </c>
      <c r="AB372" s="5">
        <v>0</v>
      </c>
      <c r="AC372" s="5">
        <v>0</v>
      </c>
      <c r="AD372" s="56">
        <v>0</v>
      </c>
      <c r="AE372" s="20">
        <v>370</v>
      </c>
      <c r="AF372" s="142"/>
    </row>
    <row r="373" spans="1:32" ht="15">
      <c r="A373" s="47" t="s">
        <v>828</v>
      </c>
      <c r="B373" s="4" t="s">
        <v>829</v>
      </c>
      <c r="C373" s="40" t="s">
        <v>649</v>
      </c>
      <c r="D373" s="34" t="s">
        <v>736</v>
      </c>
      <c r="E373" s="4" t="s">
        <v>131</v>
      </c>
      <c r="F373" s="4">
        <v>4</v>
      </c>
      <c r="G373" s="4">
        <v>1</v>
      </c>
      <c r="H373" s="4" t="s">
        <v>132</v>
      </c>
      <c r="I373" s="24" t="str">
        <f>A373</f>
        <v>S6.030.609</v>
      </c>
      <c r="J373" s="34"/>
      <c r="K373" s="4"/>
      <c r="L373" s="4"/>
      <c r="M373" s="16">
        <v>1</v>
      </c>
      <c r="N373" s="5">
        <v>1</v>
      </c>
      <c r="O373" s="5"/>
      <c r="P373" s="5">
        <v>1</v>
      </c>
      <c r="Q373" s="5">
        <v>0</v>
      </c>
      <c r="R373" s="5">
        <v>1</v>
      </c>
      <c r="S373" s="5">
        <v>0</v>
      </c>
      <c r="T373" s="5">
        <v>1</v>
      </c>
      <c r="U373" s="5">
        <v>1</v>
      </c>
      <c r="V373" s="5">
        <v>0</v>
      </c>
      <c r="W373" s="5">
        <v>0</v>
      </c>
      <c r="X373" s="5">
        <v>1</v>
      </c>
      <c r="Y373" s="5">
        <v>0</v>
      </c>
      <c r="Z373" s="5">
        <v>1</v>
      </c>
      <c r="AA373" s="5">
        <v>1</v>
      </c>
      <c r="AB373" s="5">
        <v>0</v>
      </c>
      <c r="AC373" s="5">
        <v>0</v>
      </c>
      <c r="AD373" s="56">
        <v>0</v>
      </c>
      <c r="AE373" s="20">
        <v>371</v>
      </c>
      <c r="AF373" s="142"/>
    </row>
    <row r="374" spans="1:32" ht="15" customHeight="1">
      <c r="A374" s="47" t="s">
        <v>830</v>
      </c>
      <c r="B374" s="4" t="s">
        <v>831</v>
      </c>
      <c r="C374" s="40" t="s">
        <v>649</v>
      </c>
      <c r="D374" s="34" t="s">
        <v>736</v>
      </c>
      <c r="E374" s="4" t="s">
        <v>143</v>
      </c>
      <c r="F374" s="4">
        <v>2</v>
      </c>
      <c r="G374" s="4">
        <v>1</v>
      </c>
      <c r="H374" s="4" t="s">
        <v>144</v>
      </c>
      <c r="I374" s="24" t="str">
        <f>A374</f>
        <v>S7.020.702</v>
      </c>
      <c r="J374" s="34"/>
      <c r="K374" s="4"/>
      <c r="L374" s="4"/>
      <c r="M374" s="16">
        <v>1</v>
      </c>
      <c r="N374" s="5">
        <v>1</v>
      </c>
      <c r="O374" s="5"/>
      <c r="P374" s="5">
        <v>1</v>
      </c>
      <c r="Q374" s="5">
        <v>0</v>
      </c>
      <c r="R374" s="5">
        <v>2</v>
      </c>
      <c r="S374" s="5">
        <v>0</v>
      </c>
      <c r="T374" s="5">
        <v>1</v>
      </c>
      <c r="U374" s="5">
        <v>1</v>
      </c>
      <c r="V374" s="5">
        <v>0</v>
      </c>
      <c r="W374" s="5">
        <v>0</v>
      </c>
      <c r="X374" s="5">
        <v>1</v>
      </c>
      <c r="Y374" s="5">
        <v>0</v>
      </c>
      <c r="Z374" s="5">
        <v>2</v>
      </c>
      <c r="AA374" s="5">
        <v>1</v>
      </c>
      <c r="AB374" s="5">
        <v>0</v>
      </c>
      <c r="AC374" s="5">
        <v>0</v>
      </c>
      <c r="AD374" s="56">
        <v>0</v>
      </c>
      <c r="AE374" s="53">
        <v>372</v>
      </c>
      <c r="AF374" s="142"/>
    </row>
    <row r="375" spans="1:32" ht="15">
      <c r="A375" s="47" t="s">
        <v>832</v>
      </c>
      <c r="B375" s="4" t="s">
        <v>833</v>
      </c>
      <c r="C375" s="40" t="s">
        <v>649</v>
      </c>
      <c r="D375" s="34" t="s">
        <v>736</v>
      </c>
      <c r="E375" s="4" t="s">
        <v>143</v>
      </c>
      <c r="F375" s="4">
        <v>2</v>
      </c>
      <c r="G375" s="4">
        <v>1</v>
      </c>
      <c r="H375" s="4" t="s">
        <v>144</v>
      </c>
      <c r="I375" s="24" t="str">
        <f>A375</f>
        <v>S7.020.718</v>
      </c>
      <c r="J375" s="34"/>
      <c r="K375" s="4"/>
      <c r="L375" s="4"/>
      <c r="M375" s="16">
        <v>1</v>
      </c>
      <c r="N375" s="5">
        <v>1</v>
      </c>
      <c r="O375" s="5"/>
      <c r="P375" s="5">
        <v>1</v>
      </c>
      <c r="Q375" s="5">
        <v>0</v>
      </c>
      <c r="R375" s="5">
        <v>1</v>
      </c>
      <c r="S375" s="5">
        <v>0</v>
      </c>
      <c r="T375" s="5">
        <v>1</v>
      </c>
      <c r="U375" s="5">
        <v>1</v>
      </c>
      <c r="V375" s="5">
        <v>0</v>
      </c>
      <c r="W375" s="5">
        <v>0</v>
      </c>
      <c r="X375" s="5">
        <v>1</v>
      </c>
      <c r="Y375" s="5">
        <v>0</v>
      </c>
      <c r="Z375" s="5">
        <v>1</v>
      </c>
      <c r="AA375" s="5">
        <v>1</v>
      </c>
      <c r="AB375" s="5">
        <v>0</v>
      </c>
      <c r="AC375" s="5">
        <v>0</v>
      </c>
      <c r="AD375" s="56">
        <v>0</v>
      </c>
      <c r="AE375" s="53">
        <v>373</v>
      </c>
      <c r="AF375" s="142"/>
    </row>
    <row r="376" spans="1:32" ht="15">
      <c r="A376" s="47" t="s">
        <v>834</v>
      </c>
      <c r="B376" s="4" t="s">
        <v>835</v>
      </c>
      <c r="C376" s="40" t="s">
        <v>649</v>
      </c>
      <c r="D376" s="34" t="s">
        <v>736</v>
      </c>
      <c r="E376" s="4" t="s">
        <v>143</v>
      </c>
      <c r="F376" s="4">
        <v>4</v>
      </c>
      <c r="G376" s="4">
        <v>1</v>
      </c>
      <c r="H376" s="4" t="s">
        <v>144</v>
      </c>
      <c r="I376" s="29" t="s">
        <v>836</v>
      </c>
      <c r="J376" s="34"/>
      <c r="K376" s="4"/>
      <c r="L376" s="4"/>
      <c r="M376" s="16">
        <v>1</v>
      </c>
      <c r="N376" s="5">
        <v>1</v>
      </c>
      <c r="O376" s="5"/>
      <c r="P376" s="5">
        <v>1</v>
      </c>
      <c r="Q376" s="5">
        <v>0</v>
      </c>
      <c r="R376" s="5">
        <v>2</v>
      </c>
      <c r="S376" s="5">
        <v>0</v>
      </c>
      <c r="T376" s="5">
        <v>1</v>
      </c>
      <c r="U376" s="5">
        <v>1</v>
      </c>
      <c r="V376" s="5">
        <v>0</v>
      </c>
      <c r="W376" s="5">
        <v>0</v>
      </c>
      <c r="X376" s="5">
        <v>4</v>
      </c>
      <c r="Y376" s="5">
        <v>0</v>
      </c>
      <c r="Z376" s="5">
        <v>2</v>
      </c>
      <c r="AA376" s="5">
        <v>1</v>
      </c>
      <c r="AB376" s="5">
        <v>0</v>
      </c>
      <c r="AC376" s="5">
        <v>0</v>
      </c>
      <c r="AD376" s="56">
        <v>0</v>
      </c>
      <c r="AE376" s="53">
        <v>374</v>
      </c>
      <c r="AF376" s="142"/>
    </row>
    <row r="377" spans="1:32" ht="15">
      <c r="A377" s="47" t="s">
        <v>837</v>
      </c>
      <c r="B377" s="4" t="s">
        <v>838</v>
      </c>
      <c r="C377" s="40" t="s">
        <v>649</v>
      </c>
      <c r="D377" s="34" t="s">
        <v>736</v>
      </c>
      <c r="E377" s="4" t="s">
        <v>143</v>
      </c>
      <c r="F377" s="4">
        <v>4</v>
      </c>
      <c r="G377" s="4">
        <v>1</v>
      </c>
      <c r="H377" s="4" t="s">
        <v>144</v>
      </c>
      <c r="I377" s="24" t="str">
        <f>A377</f>
        <v>S7.030.708</v>
      </c>
      <c r="J377" s="34"/>
      <c r="K377" s="4"/>
      <c r="L377" s="4"/>
      <c r="M377" s="16">
        <v>1</v>
      </c>
      <c r="N377" s="5">
        <v>1</v>
      </c>
      <c r="O377" s="5"/>
      <c r="P377" s="5">
        <v>1</v>
      </c>
      <c r="Q377" s="5">
        <v>0</v>
      </c>
      <c r="R377" s="5">
        <v>1</v>
      </c>
      <c r="S377" s="5">
        <v>0</v>
      </c>
      <c r="T377" s="5">
        <v>1</v>
      </c>
      <c r="U377" s="5">
        <v>1</v>
      </c>
      <c r="V377" s="5">
        <v>0</v>
      </c>
      <c r="W377" s="5">
        <v>0</v>
      </c>
      <c r="X377" s="5">
        <v>1</v>
      </c>
      <c r="Y377" s="5">
        <v>0</v>
      </c>
      <c r="Z377" s="5">
        <v>1</v>
      </c>
      <c r="AA377" s="5">
        <v>1</v>
      </c>
      <c r="AB377" s="5">
        <v>0</v>
      </c>
      <c r="AC377" s="5">
        <v>0</v>
      </c>
      <c r="AD377" s="56">
        <v>0</v>
      </c>
      <c r="AE377" s="20">
        <v>375</v>
      </c>
      <c r="AF377" s="142"/>
    </row>
    <row r="378" spans="1:32" ht="15">
      <c r="A378" s="47" t="s">
        <v>839</v>
      </c>
      <c r="B378" s="4" t="s">
        <v>840</v>
      </c>
      <c r="C378" s="40" t="s">
        <v>649</v>
      </c>
      <c r="D378" s="34" t="s">
        <v>736</v>
      </c>
      <c r="E378" s="4" t="s">
        <v>143</v>
      </c>
      <c r="F378" s="4">
        <v>4</v>
      </c>
      <c r="G378" s="4">
        <v>1</v>
      </c>
      <c r="H378" s="4" t="s">
        <v>144</v>
      </c>
      <c r="I378" s="24" t="str">
        <f>A378</f>
        <v>S7.030.709</v>
      </c>
      <c r="J378" s="34"/>
      <c r="K378" s="4"/>
      <c r="L378" s="4"/>
      <c r="M378" s="16">
        <v>1</v>
      </c>
      <c r="N378" s="5">
        <v>1</v>
      </c>
      <c r="O378" s="5"/>
      <c r="P378" s="5">
        <v>1</v>
      </c>
      <c r="Q378" s="5">
        <v>0</v>
      </c>
      <c r="R378" s="5">
        <v>1</v>
      </c>
      <c r="S378" s="5">
        <v>0</v>
      </c>
      <c r="T378" s="5">
        <v>1</v>
      </c>
      <c r="U378" s="5">
        <v>1</v>
      </c>
      <c r="V378" s="5">
        <v>0</v>
      </c>
      <c r="W378" s="5">
        <v>0</v>
      </c>
      <c r="X378" s="5">
        <v>1</v>
      </c>
      <c r="Y378" s="5">
        <v>0</v>
      </c>
      <c r="Z378" s="5">
        <v>1</v>
      </c>
      <c r="AA378" s="5">
        <v>1</v>
      </c>
      <c r="AB378" s="5">
        <v>0</v>
      </c>
      <c r="AC378" s="5">
        <v>0</v>
      </c>
      <c r="AD378" s="56">
        <v>0</v>
      </c>
      <c r="AE378" s="20">
        <v>376</v>
      </c>
      <c r="AF378" s="142"/>
    </row>
    <row r="379" spans="1:32" ht="15" customHeight="1">
      <c r="A379" s="47" t="s">
        <v>841</v>
      </c>
      <c r="B379" s="4" t="s">
        <v>842</v>
      </c>
      <c r="C379" s="40" t="s">
        <v>649</v>
      </c>
      <c r="D379" s="34" t="s">
        <v>736</v>
      </c>
      <c r="E379" s="4" t="s">
        <v>155</v>
      </c>
      <c r="F379" s="4">
        <v>2</v>
      </c>
      <c r="G379" s="4">
        <v>1</v>
      </c>
      <c r="H379" s="4" t="s">
        <v>156</v>
      </c>
      <c r="I379" s="24" t="str">
        <f>A379</f>
        <v>S8.020.802</v>
      </c>
      <c r="J379" s="34"/>
      <c r="K379" s="4"/>
      <c r="L379" s="4"/>
      <c r="M379" s="16">
        <v>1</v>
      </c>
      <c r="N379" s="5">
        <v>1</v>
      </c>
      <c r="O379" s="5"/>
      <c r="P379" s="5">
        <v>1</v>
      </c>
      <c r="Q379" s="5">
        <v>0</v>
      </c>
      <c r="R379" s="5">
        <v>2</v>
      </c>
      <c r="S379" s="5">
        <v>0</v>
      </c>
      <c r="T379" s="5">
        <v>1</v>
      </c>
      <c r="U379" s="5">
        <v>1</v>
      </c>
      <c r="V379" s="5">
        <v>0</v>
      </c>
      <c r="W379" s="5">
        <v>0</v>
      </c>
      <c r="X379" s="5">
        <v>1</v>
      </c>
      <c r="Y379" s="5">
        <v>0</v>
      </c>
      <c r="Z379" s="5">
        <v>2</v>
      </c>
      <c r="AA379" s="5">
        <v>1</v>
      </c>
      <c r="AB379" s="5">
        <v>0</v>
      </c>
      <c r="AC379" s="5">
        <v>0</v>
      </c>
      <c r="AD379" s="56">
        <v>0</v>
      </c>
      <c r="AE379" s="53">
        <v>377</v>
      </c>
      <c r="AF379" s="142"/>
    </row>
    <row r="380" spans="1:32" ht="15" customHeight="1">
      <c r="A380" s="47" t="s">
        <v>843</v>
      </c>
      <c r="B380" s="4" t="s">
        <v>844</v>
      </c>
      <c r="C380" s="40" t="s">
        <v>649</v>
      </c>
      <c r="D380" s="34" t="s">
        <v>736</v>
      </c>
      <c r="E380" s="4" t="s">
        <v>155</v>
      </c>
      <c r="F380" s="4">
        <v>2</v>
      </c>
      <c r="G380" s="4">
        <v>1</v>
      </c>
      <c r="H380" s="4" t="s">
        <v>156</v>
      </c>
      <c r="I380" s="24" t="str">
        <f>A380</f>
        <v>S8.020.818</v>
      </c>
      <c r="J380" s="34"/>
      <c r="K380" s="4"/>
      <c r="L380" s="4"/>
      <c r="M380" s="16">
        <v>1</v>
      </c>
      <c r="N380" s="5">
        <v>1</v>
      </c>
      <c r="O380" s="5"/>
      <c r="P380" s="5">
        <v>1</v>
      </c>
      <c r="Q380" s="5">
        <v>0</v>
      </c>
      <c r="R380" s="5">
        <v>1</v>
      </c>
      <c r="S380" s="5">
        <v>0</v>
      </c>
      <c r="T380" s="5">
        <v>1</v>
      </c>
      <c r="U380" s="5">
        <v>1</v>
      </c>
      <c r="V380" s="5">
        <v>0</v>
      </c>
      <c r="W380" s="5">
        <v>0</v>
      </c>
      <c r="X380" s="5">
        <v>1</v>
      </c>
      <c r="Y380" s="5">
        <v>0</v>
      </c>
      <c r="Z380" s="5">
        <v>1</v>
      </c>
      <c r="AA380" s="5">
        <v>1</v>
      </c>
      <c r="AB380" s="5">
        <v>0</v>
      </c>
      <c r="AC380" s="5">
        <v>0</v>
      </c>
      <c r="AD380" s="56">
        <v>0</v>
      </c>
      <c r="AE380" s="53">
        <v>378</v>
      </c>
      <c r="AF380" s="142"/>
    </row>
    <row r="381" spans="1:32" ht="15">
      <c r="A381" s="47" t="s">
        <v>845</v>
      </c>
      <c r="B381" s="4" t="s">
        <v>846</v>
      </c>
      <c r="C381" s="40" t="s">
        <v>649</v>
      </c>
      <c r="D381" s="34" t="s">
        <v>736</v>
      </c>
      <c r="E381" s="4" t="s">
        <v>155</v>
      </c>
      <c r="F381" s="4">
        <v>4</v>
      </c>
      <c r="G381" s="4">
        <v>1</v>
      </c>
      <c r="H381" s="4" t="s">
        <v>156</v>
      </c>
      <c r="I381" s="29" t="s">
        <v>847</v>
      </c>
      <c r="J381" s="34"/>
      <c r="K381" s="4"/>
      <c r="L381" s="4"/>
      <c r="M381" s="16">
        <v>1</v>
      </c>
      <c r="N381" s="5">
        <v>1</v>
      </c>
      <c r="O381" s="5"/>
      <c r="P381" s="5">
        <v>1</v>
      </c>
      <c r="Q381" s="5">
        <v>0</v>
      </c>
      <c r="R381" s="5">
        <v>2</v>
      </c>
      <c r="S381" s="5">
        <v>0</v>
      </c>
      <c r="T381" s="5">
        <v>1</v>
      </c>
      <c r="U381" s="5">
        <v>1</v>
      </c>
      <c r="V381" s="5">
        <v>0</v>
      </c>
      <c r="W381" s="5">
        <v>0</v>
      </c>
      <c r="X381" s="5">
        <v>4</v>
      </c>
      <c r="Y381" s="5">
        <v>0</v>
      </c>
      <c r="Z381" s="5">
        <v>2</v>
      </c>
      <c r="AA381" s="5">
        <v>1</v>
      </c>
      <c r="AB381" s="5">
        <v>0</v>
      </c>
      <c r="AC381" s="5">
        <v>0</v>
      </c>
      <c r="AD381" s="56">
        <v>0</v>
      </c>
      <c r="AE381" s="53">
        <v>379</v>
      </c>
      <c r="AF381" s="142"/>
    </row>
    <row r="382" spans="1:32" ht="15">
      <c r="A382" s="47" t="s">
        <v>848</v>
      </c>
      <c r="B382" s="4" t="s">
        <v>849</v>
      </c>
      <c r="C382" s="40" t="s">
        <v>649</v>
      </c>
      <c r="D382" s="34" t="s">
        <v>736</v>
      </c>
      <c r="E382" s="4" t="s">
        <v>155</v>
      </c>
      <c r="F382" s="4">
        <v>4</v>
      </c>
      <c r="G382" s="4">
        <v>1</v>
      </c>
      <c r="H382" s="4" t="s">
        <v>156</v>
      </c>
      <c r="I382" s="24" t="str">
        <f>A382</f>
        <v>S8.030.808</v>
      </c>
      <c r="J382" s="34"/>
      <c r="K382" s="4"/>
      <c r="L382" s="4"/>
      <c r="M382" s="16">
        <v>1</v>
      </c>
      <c r="N382" s="5">
        <v>1</v>
      </c>
      <c r="O382" s="5"/>
      <c r="P382" s="5">
        <v>1</v>
      </c>
      <c r="Q382" s="5">
        <v>0</v>
      </c>
      <c r="R382" s="5">
        <v>1</v>
      </c>
      <c r="S382" s="5">
        <v>0</v>
      </c>
      <c r="T382" s="5">
        <v>1</v>
      </c>
      <c r="U382" s="5">
        <v>1</v>
      </c>
      <c r="V382" s="5">
        <v>0</v>
      </c>
      <c r="W382" s="5">
        <v>0</v>
      </c>
      <c r="X382" s="5">
        <v>1</v>
      </c>
      <c r="Y382" s="5">
        <v>0</v>
      </c>
      <c r="Z382" s="5">
        <v>1</v>
      </c>
      <c r="AA382" s="5">
        <v>1</v>
      </c>
      <c r="AB382" s="5">
        <v>0</v>
      </c>
      <c r="AC382" s="5">
        <v>0</v>
      </c>
      <c r="AD382" s="56">
        <v>0</v>
      </c>
      <c r="AE382" s="20">
        <v>380</v>
      </c>
      <c r="AF382" s="142"/>
    </row>
    <row r="383" spans="1:32" ht="15">
      <c r="A383" s="47" t="s">
        <v>850</v>
      </c>
      <c r="B383" s="4" t="s">
        <v>851</v>
      </c>
      <c r="C383" s="40" t="s">
        <v>649</v>
      </c>
      <c r="D383" s="34" t="s">
        <v>736</v>
      </c>
      <c r="E383" s="4" t="s">
        <v>155</v>
      </c>
      <c r="F383" s="4">
        <v>4</v>
      </c>
      <c r="G383" s="4">
        <v>1</v>
      </c>
      <c r="H383" s="4" t="s">
        <v>156</v>
      </c>
      <c r="I383" s="24" t="str">
        <f>A383</f>
        <v>S8.030.809</v>
      </c>
      <c r="J383" s="34"/>
      <c r="K383" s="4"/>
      <c r="L383" s="4"/>
      <c r="M383" s="16">
        <v>1</v>
      </c>
      <c r="N383" s="5">
        <v>1</v>
      </c>
      <c r="O383" s="5"/>
      <c r="P383" s="5">
        <v>1</v>
      </c>
      <c r="Q383" s="5">
        <v>0</v>
      </c>
      <c r="R383" s="5">
        <v>1</v>
      </c>
      <c r="S383" s="5">
        <v>0</v>
      </c>
      <c r="T383" s="5">
        <v>1</v>
      </c>
      <c r="U383" s="5">
        <v>1</v>
      </c>
      <c r="V383" s="5">
        <v>0</v>
      </c>
      <c r="W383" s="5">
        <v>0</v>
      </c>
      <c r="X383" s="5">
        <v>1</v>
      </c>
      <c r="Y383" s="5">
        <v>0</v>
      </c>
      <c r="Z383" s="5">
        <v>1</v>
      </c>
      <c r="AA383" s="5">
        <v>1</v>
      </c>
      <c r="AB383" s="5">
        <v>0</v>
      </c>
      <c r="AC383" s="5">
        <v>0</v>
      </c>
      <c r="AD383" s="56">
        <v>0</v>
      </c>
      <c r="AE383" s="20">
        <v>381</v>
      </c>
      <c r="AF383" s="142"/>
    </row>
    <row r="384" spans="1:32" ht="15">
      <c r="A384" s="153" t="s">
        <v>852</v>
      </c>
      <c r="B384" s="162"/>
      <c r="C384" s="166"/>
      <c r="D384" s="171"/>
      <c r="E384" s="162"/>
      <c r="F384" s="162"/>
      <c r="G384" s="162"/>
      <c r="H384" s="162"/>
      <c r="I384" s="19"/>
      <c r="J384" s="171"/>
      <c r="K384" s="19"/>
      <c r="L384" s="19"/>
      <c r="M384" s="182">
        <f>SUM(M385:M388)</f>
        <v>4</v>
      </c>
      <c r="N384" s="186">
        <f>SUM(N385:N388)</f>
        <v>4</v>
      </c>
      <c r="O384" s="186"/>
      <c r="P384" s="186">
        <f t="shared" ref="P384:AD384" si="30">SUM(P385:P388)</f>
        <v>4</v>
      </c>
      <c r="Q384" s="91">
        <f t="shared" si="30"/>
        <v>0</v>
      </c>
      <c r="R384" s="186">
        <f t="shared" si="30"/>
        <v>4</v>
      </c>
      <c r="S384" s="186">
        <f t="shared" si="30"/>
        <v>0</v>
      </c>
      <c r="T384" s="186">
        <f t="shared" si="30"/>
        <v>4</v>
      </c>
      <c r="U384" s="186">
        <f t="shared" si="30"/>
        <v>4</v>
      </c>
      <c r="V384" s="186">
        <f t="shared" si="30"/>
        <v>0</v>
      </c>
      <c r="W384" s="186">
        <f t="shared" si="30"/>
        <v>0</v>
      </c>
      <c r="X384" s="186">
        <f t="shared" si="30"/>
        <v>4</v>
      </c>
      <c r="Y384" s="186">
        <f t="shared" si="30"/>
        <v>0</v>
      </c>
      <c r="Z384" s="186">
        <f t="shared" si="30"/>
        <v>8</v>
      </c>
      <c r="AA384" s="186">
        <f t="shared" si="30"/>
        <v>4</v>
      </c>
      <c r="AB384" s="186">
        <f t="shared" si="30"/>
        <v>0</v>
      </c>
      <c r="AC384" s="186">
        <f t="shared" si="30"/>
        <v>0</v>
      </c>
      <c r="AD384" s="195">
        <f t="shared" si="30"/>
        <v>4</v>
      </c>
      <c r="AE384" s="53">
        <v>382</v>
      </c>
      <c r="AF384" s="142"/>
    </row>
    <row r="385" spans="1:32" ht="15">
      <c r="A385" s="46" t="s">
        <v>853</v>
      </c>
      <c r="B385" s="10" t="s">
        <v>854</v>
      </c>
      <c r="C385" s="38" t="s">
        <v>649</v>
      </c>
      <c r="D385" s="31" t="s">
        <v>855</v>
      </c>
      <c r="E385" s="10" t="s">
        <v>43</v>
      </c>
      <c r="F385" s="10">
        <v>4</v>
      </c>
      <c r="G385" s="10">
        <v>2</v>
      </c>
      <c r="H385" s="4" t="s">
        <v>44</v>
      </c>
      <c r="I385" s="24" t="str">
        <f>A385</f>
        <v>A1.030.014</v>
      </c>
      <c r="J385" s="31"/>
      <c r="K385" s="4"/>
      <c r="L385" s="4"/>
      <c r="M385" s="15">
        <v>1</v>
      </c>
      <c r="N385" s="11">
        <v>1</v>
      </c>
      <c r="O385" s="11"/>
      <c r="P385" s="11">
        <v>1</v>
      </c>
      <c r="Q385" s="5">
        <v>0</v>
      </c>
      <c r="R385" s="11">
        <v>1</v>
      </c>
      <c r="S385" s="11">
        <v>0</v>
      </c>
      <c r="T385" s="11">
        <v>1</v>
      </c>
      <c r="U385" s="11">
        <v>1</v>
      </c>
      <c r="V385" s="11">
        <v>0</v>
      </c>
      <c r="W385" s="11">
        <v>0</v>
      </c>
      <c r="X385" s="11">
        <v>1</v>
      </c>
      <c r="Y385" s="11">
        <v>0</v>
      </c>
      <c r="Z385" s="11">
        <v>2</v>
      </c>
      <c r="AA385" s="11">
        <v>1</v>
      </c>
      <c r="AB385" s="11">
        <v>0</v>
      </c>
      <c r="AC385" s="11">
        <v>0</v>
      </c>
      <c r="AD385" s="55">
        <v>1</v>
      </c>
      <c r="AE385" s="53">
        <v>383</v>
      </c>
      <c r="AF385" s="142"/>
    </row>
    <row r="386" spans="1:32" ht="15">
      <c r="A386" s="47" t="s">
        <v>856</v>
      </c>
      <c r="B386" s="4" t="s">
        <v>857</v>
      </c>
      <c r="C386" s="38" t="s">
        <v>649</v>
      </c>
      <c r="D386" s="31" t="s">
        <v>855</v>
      </c>
      <c r="E386" s="10" t="s">
        <v>43</v>
      </c>
      <c r="F386" s="4">
        <v>4</v>
      </c>
      <c r="G386" s="4">
        <v>2</v>
      </c>
      <c r="H386" s="4" t="s">
        <v>44</v>
      </c>
      <c r="I386" s="24" t="str">
        <f>A386</f>
        <v>A1.030.015</v>
      </c>
      <c r="J386" s="31"/>
      <c r="K386" s="4"/>
      <c r="L386" s="4"/>
      <c r="M386" s="16">
        <v>1</v>
      </c>
      <c r="N386" s="5">
        <v>1</v>
      </c>
      <c r="O386" s="5"/>
      <c r="P386" s="5">
        <v>1</v>
      </c>
      <c r="Q386" s="5">
        <v>0</v>
      </c>
      <c r="R386" s="5">
        <v>1</v>
      </c>
      <c r="S386" s="5">
        <v>0</v>
      </c>
      <c r="T386" s="5">
        <v>1</v>
      </c>
      <c r="U386" s="5">
        <v>1</v>
      </c>
      <c r="V386" s="5">
        <v>0</v>
      </c>
      <c r="W386" s="5">
        <v>0</v>
      </c>
      <c r="X386" s="5">
        <v>1</v>
      </c>
      <c r="Y386" s="5">
        <v>0</v>
      </c>
      <c r="Z386" s="5">
        <v>2</v>
      </c>
      <c r="AA386" s="5">
        <v>1</v>
      </c>
      <c r="AB386" s="5">
        <v>0</v>
      </c>
      <c r="AC386" s="5">
        <v>0</v>
      </c>
      <c r="AD386" s="56">
        <v>1</v>
      </c>
      <c r="AE386" s="53">
        <v>384</v>
      </c>
      <c r="AF386" s="142"/>
    </row>
    <row r="387" spans="1:32" ht="15" customHeight="1">
      <c r="A387" s="47" t="s">
        <v>858</v>
      </c>
      <c r="B387" s="4" t="s">
        <v>859</v>
      </c>
      <c r="C387" s="38" t="s">
        <v>649</v>
      </c>
      <c r="D387" s="31" t="s">
        <v>855</v>
      </c>
      <c r="E387" s="10" t="s">
        <v>43</v>
      </c>
      <c r="F387" s="4">
        <v>4</v>
      </c>
      <c r="G387" s="4">
        <v>2</v>
      </c>
      <c r="H387" s="4" t="s">
        <v>44</v>
      </c>
      <c r="I387" s="24" t="str">
        <f>A387</f>
        <v>A1.030.016</v>
      </c>
      <c r="J387" s="31"/>
      <c r="K387" s="4"/>
      <c r="L387" s="4"/>
      <c r="M387" s="16">
        <v>1</v>
      </c>
      <c r="N387" s="5">
        <v>1</v>
      </c>
      <c r="O387" s="5"/>
      <c r="P387" s="5">
        <v>1</v>
      </c>
      <c r="Q387" s="5">
        <v>0</v>
      </c>
      <c r="R387" s="5">
        <v>1</v>
      </c>
      <c r="S387" s="5">
        <v>0</v>
      </c>
      <c r="T387" s="5">
        <v>1</v>
      </c>
      <c r="U387" s="5">
        <v>1</v>
      </c>
      <c r="V387" s="5">
        <v>0</v>
      </c>
      <c r="W387" s="5">
        <v>0</v>
      </c>
      <c r="X387" s="5">
        <v>1</v>
      </c>
      <c r="Y387" s="5">
        <v>0</v>
      </c>
      <c r="Z387" s="5">
        <v>2</v>
      </c>
      <c r="AA387" s="5">
        <v>1</v>
      </c>
      <c r="AB387" s="5">
        <v>0</v>
      </c>
      <c r="AC387" s="5">
        <v>0</v>
      </c>
      <c r="AD387" s="56">
        <v>1</v>
      </c>
      <c r="AE387" s="20">
        <v>385</v>
      </c>
      <c r="AF387" s="142"/>
    </row>
    <row r="388" spans="1:32" ht="15" customHeight="1">
      <c r="A388" s="47" t="s">
        <v>860</v>
      </c>
      <c r="B388" s="4" t="s">
        <v>861</v>
      </c>
      <c r="C388" s="38" t="s">
        <v>649</v>
      </c>
      <c r="D388" s="31" t="s">
        <v>855</v>
      </c>
      <c r="E388" s="10" t="s">
        <v>43</v>
      </c>
      <c r="F388" s="4">
        <v>4</v>
      </c>
      <c r="G388" s="4">
        <v>2</v>
      </c>
      <c r="H388" s="4" t="s">
        <v>44</v>
      </c>
      <c r="I388" s="24" t="str">
        <f>A388</f>
        <v>A1.030.017</v>
      </c>
      <c r="J388" s="31"/>
      <c r="K388" s="4"/>
      <c r="L388" s="4"/>
      <c r="M388" s="16">
        <v>1</v>
      </c>
      <c r="N388" s="5">
        <v>1</v>
      </c>
      <c r="O388" s="5"/>
      <c r="P388" s="5">
        <v>1</v>
      </c>
      <c r="Q388" s="5">
        <v>0</v>
      </c>
      <c r="R388" s="5">
        <v>1</v>
      </c>
      <c r="S388" s="5">
        <v>0</v>
      </c>
      <c r="T388" s="5">
        <v>1</v>
      </c>
      <c r="U388" s="5">
        <v>1</v>
      </c>
      <c r="V388" s="5">
        <v>0</v>
      </c>
      <c r="W388" s="5">
        <v>0</v>
      </c>
      <c r="X388" s="5">
        <v>1</v>
      </c>
      <c r="Y388" s="5">
        <v>0</v>
      </c>
      <c r="Z388" s="5">
        <v>2</v>
      </c>
      <c r="AA388" s="5">
        <v>1</v>
      </c>
      <c r="AB388" s="5">
        <v>0</v>
      </c>
      <c r="AC388" s="5">
        <v>0</v>
      </c>
      <c r="AD388" s="56">
        <v>1</v>
      </c>
      <c r="AE388" s="20">
        <v>386</v>
      </c>
      <c r="AF388" s="142"/>
    </row>
    <row r="389" spans="1:32" ht="15.75" customHeight="1">
      <c r="A389" s="153" t="s">
        <v>862</v>
      </c>
      <c r="B389" s="162"/>
      <c r="C389" s="166"/>
      <c r="D389" s="171"/>
      <c r="E389" s="162"/>
      <c r="F389" s="162"/>
      <c r="G389" s="162"/>
      <c r="H389" s="162"/>
      <c r="I389" s="19"/>
      <c r="J389" s="171"/>
      <c r="K389" s="19"/>
      <c r="L389" s="19"/>
      <c r="M389" s="182">
        <f>SUM(M390:M418)</f>
        <v>29</v>
      </c>
      <c r="N389" s="186">
        <f>SUM(N390:N418)</f>
        <v>29</v>
      </c>
      <c r="O389" s="186"/>
      <c r="P389" s="186">
        <f t="shared" ref="P389:AD389" si="31">SUM(P390:P418)</f>
        <v>29</v>
      </c>
      <c r="Q389" s="91">
        <f t="shared" si="31"/>
        <v>0</v>
      </c>
      <c r="R389" s="186">
        <f t="shared" si="31"/>
        <v>56</v>
      </c>
      <c r="S389" s="186">
        <f t="shared" si="31"/>
        <v>0</v>
      </c>
      <c r="T389" s="186">
        <f t="shared" si="31"/>
        <v>37</v>
      </c>
      <c r="U389" s="186">
        <f t="shared" si="31"/>
        <v>39</v>
      </c>
      <c r="V389" s="186">
        <f t="shared" si="31"/>
        <v>0</v>
      </c>
      <c r="W389" s="186">
        <f t="shared" si="31"/>
        <v>0</v>
      </c>
      <c r="X389" s="186">
        <f t="shared" si="31"/>
        <v>205</v>
      </c>
      <c r="Y389" s="186">
        <f t="shared" si="31"/>
        <v>0</v>
      </c>
      <c r="Z389" s="186">
        <f t="shared" si="31"/>
        <v>143</v>
      </c>
      <c r="AA389" s="186">
        <f t="shared" si="31"/>
        <v>46</v>
      </c>
      <c r="AB389" s="186">
        <f t="shared" si="31"/>
        <v>166</v>
      </c>
      <c r="AC389" s="186">
        <f t="shared" si="31"/>
        <v>30</v>
      </c>
      <c r="AD389" s="186">
        <f t="shared" si="31"/>
        <v>0</v>
      </c>
      <c r="AE389" s="53">
        <v>387</v>
      </c>
      <c r="AF389" s="142"/>
    </row>
    <row r="390" spans="1:32" ht="15.75" customHeight="1">
      <c r="A390" s="46" t="s">
        <v>863</v>
      </c>
      <c r="B390" s="10" t="s">
        <v>864</v>
      </c>
      <c r="C390" s="38" t="s">
        <v>865</v>
      </c>
      <c r="D390" s="31" t="s">
        <v>866</v>
      </c>
      <c r="E390" s="10" t="s">
        <v>43</v>
      </c>
      <c r="F390" s="10">
        <v>1</v>
      </c>
      <c r="G390" s="10">
        <v>1</v>
      </c>
      <c r="H390" s="4" t="s">
        <v>184</v>
      </c>
      <c r="I390" s="24" t="str">
        <f>A390</f>
        <v>A1.020.050</v>
      </c>
      <c r="J390" s="31"/>
      <c r="K390" s="4"/>
      <c r="L390" s="4"/>
      <c r="M390" s="15">
        <v>1</v>
      </c>
      <c r="N390" s="11">
        <v>1</v>
      </c>
      <c r="O390" s="11"/>
      <c r="P390" s="11">
        <v>1</v>
      </c>
      <c r="Q390" s="5">
        <v>0</v>
      </c>
      <c r="R390" s="11">
        <v>2</v>
      </c>
      <c r="S390" s="11">
        <v>0</v>
      </c>
      <c r="T390" s="11">
        <v>1</v>
      </c>
      <c r="U390" s="11">
        <v>1</v>
      </c>
      <c r="V390" s="11">
        <v>0</v>
      </c>
      <c r="W390" s="11">
        <v>0</v>
      </c>
      <c r="X390" s="11">
        <v>15</v>
      </c>
      <c r="Y390" s="11">
        <v>0</v>
      </c>
      <c r="Z390" s="11">
        <v>16</v>
      </c>
      <c r="AA390" s="11">
        <v>3</v>
      </c>
      <c r="AB390" s="11">
        <v>10</v>
      </c>
      <c r="AC390" s="11">
        <v>1</v>
      </c>
      <c r="AD390" s="55">
        <v>0</v>
      </c>
      <c r="AE390" s="53">
        <v>388</v>
      </c>
      <c r="AF390" s="142"/>
    </row>
    <row r="391" spans="1:32" ht="15" customHeight="1">
      <c r="A391" s="47" t="s">
        <v>867</v>
      </c>
      <c r="B391" s="4" t="s">
        <v>868</v>
      </c>
      <c r="C391" s="38" t="s">
        <v>649</v>
      </c>
      <c r="D391" s="31" t="s">
        <v>866</v>
      </c>
      <c r="E391" s="10" t="s">
        <v>43</v>
      </c>
      <c r="F391" s="4">
        <v>3</v>
      </c>
      <c r="G391" s="4">
        <v>1</v>
      </c>
      <c r="H391" s="4" t="s">
        <v>187</v>
      </c>
      <c r="I391" s="24" t="str">
        <f>A391</f>
        <v>A1.020.083</v>
      </c>
      <c r="J391" s="31"/>
      <c r="K391" s="4"/>
      <c r="L391" s="4"/>
      <c r="M391" s="16">
        <v>1</v>
      </c>
      <c r="N391" s="5">
        <v>1</v>
      </c>
      <c r="O391" s="5"/>
      <c r="P391" s="5">
        <v>1</v>
      </c>
      <c r="Q391" s="5">
        <v>0</v>
      </c>
      <c r="R391" s="5">
        <v>1</v>
      </c>
      <c r="S391" s="5">
        <v>0</v>
      </c>
      <c r="T391" s="5">
        <v>1</v>
      </c>
      <c r="U391" s="5">
        <v>1</v>
      </c>
      <c r="V391" s="5">
        <v>0</v>
      </c>
      <c r="W391" s="5">
        <v>0</v>
      </c>
      <c r="X391" s="5">
        <v>1</v>
      </c>
      <c r="Y391" s="5">
        <v>0</v>
      </c>
      <c r="Z391" s="5">
        <v>1</v>
      </c>
      <c r="AA391" s="5">
        <v>1</v>
      </c>
      <c r="AB391" s="5">
        <v>1</v>
      </c>
      <c r="AC391" s="5">
        <v>1</v>
      </c>
      <c r="AD391" s="56">
        <v>0</v>
      </c>
      <c r="AE391" s="53">
        <v>389</v>
      </c>
      <c r="AF391" s="142"/>
    </row>
    <row r="392" spans="1:32" ht="15" customHeight="1">
      <c r="A392" s="47" t="s">
        <v>869</v>
      </c>
      <c r="B392" s="4" t="s">
        <v>870</v>
      </c>
      <c r="C392" s="38" t="s">
        <v>865</v>
      </c>
      <c r="D392" s="31" t="s">
        <v>866</v>
      </c>
      <c r="E392" s="10" t="s">
        <v>43</v>
      </c>
      <c r="F392" s="4">
        <v>7</v>
      </c>
      <c r="G392" s="4">
        <v>2</v>
      </c>
      <c r="H392" s="4" t="s">
        <v>44</v>
      </c>
      <c r="I392" s="29" t="s">
        <v>656</v>
      </c>
      <c r="J392" s="31"/>
      <c r="K392" s="4"/>
      <c r="L392" s="4"/>
      <c r="M392" s="16">
        <v>1</v>
      </c>
      <c r="N392" s="5">
        <v>1</v>
      </c>
      <c r="O392" s="5"/>
      <c r="P392" s="5">
        <v>1</v>
      </c>
      <c r="Q392" s="5">
        <v>0</v>
      </c>
      <c r="R392" s="5">
        <v>2</v>
      </c>
      <c r="S392" s="5">
        <v>0</v>
      </c>
      <c r="T392" s="5">
        <v>1</v>
      </c>
      <c r="U392" s="5">
        <v>1</v>
      </c>
      <c r="V392" s="5">
        <v>0</v>
      </c>
      <c r="W392" s="5">
        <v>0</v>
      </c>
      <c r="X392" s="5">
        <v>10</v>
      </c>
      <c r="Y392" s="5">
        <v>0</v>
      </c>
      <c r="Z392" s="5">
        <v>7</v>
      </c>
      <c r="AA392" s="5">
        <v>2</v>
      </c>
      <c r="AB392" s="5">
        <v>8</v>
      </c>
      <c r="AC392" s="5">
        <v>1</v>
      </c>
      <c r="AD392" s="56">
        <v>0</v>
      </c>
      <c r="AE392" s="20">
        <v>390</v>
      </c>
      <c r="AF392" s="142"/>
    </row>
    <row r="393" spans="1:32" ht="15">
      <c r="A393" s="47" t="s">
        <v>871</v>
      </c>
      <c r="B393" s="4" t="s">
        <v>872</v>
      </c>
      <c r="C393" s="38" t="s">
        <v>865</v>
      </c>
      <c r="D393" s="31" t="s">
        <v>866</v>
      </c>
      <c r="E393" s="10" t="s">
        <v>43</v>
      </c>
      <c r="F393" s="4">
        <v>7</v>
      </c>
      <c r="G393" s="4">
        <v>2</v>
      </c>
      <c r="H393" s="4" t="s">
        <v>44</v>
      </c>
      <c r="I393" s="29" t="s">
        <v>45</v>
      </c>
      <c r="J393" s="31"/>
      <c r="K393" s="4"/>
      <c r="L393" s="4"/>
      <c r="M393" s="16">
        <v>1</v>
      </c>
      <c r="N393" s="5">
        <v>1</v>
      </c>
      <c r="O393" s="5"/>
      <c r="P393" s="5">
        <v>1</v>
      </c>
      <c r="Q393" s="5">
        <v>0</v>
      </c>
      <c r="R393" s="5">
        <v>3</v>
      </c>
      <c r="S393" s="5">
        <v>0</v>
      </c>
      <c r="T393" s="5">
        <v>1</v>
      </c>
      <c r="U393" s="5">
        <v>1</v>
      </c>
      <c r="V393" s="5">
        <v>0</v>
      </c>
      <c r="W393" s="5">
        <v>0</v>
      </c>
      <c r="X393" s="5">
        <v>10</v>
      </c>
      <c r="Y393" s="5">
        <v>0</v>
      </c>
      <c r="Z393" s="5">
        <v>7</v>
      </c>
      <c r="AA393" s="5">
        <v>3</v>
      </c>
      <c r="AB393" s="5">
        <v>10</v>
      </c>
      <c r="AC393" s="5">
        <v>2</v>
      </c>
      <c r="AD393" s="56">
        <v>0</v>
      </c>
      <c r="AE393" s="20">
        <v>391</v>
      </c>
      <c r="AF393" s="142"/>
    </row>
    <row r="394" spans="1:32" ht="15">
      <c r="A394" s="47" t="s">
        <v>873</v>
      </c>
      <c r="B394" s="4" t="s">
        <v>874</v>
      </c>
      <c r="C394" s="38" t="s">
        <v>865</v>
      </c>
      <c r="D394" s="31" t="s">
        <v>866</v>
      </c>
      <c r="E394" s="10" t="s">
        <v>43</v>
      </c>
      <c r="F394" s="4">
        <v>5</v>
      </c>
      <c r="G394" s="4">
        <v>2</v>
      </c>
      <c r="H394" s="4" t="s">
        <v>44</v>
      </c>
      <c r="I394" s="29" t="s">
        <v>875</v>
      </c>
      <c r="J394" s="31"/>
      <c r="K394" s="4"/>
      <c r="L394" s="4"/>
      <c r="M394" s="16">
        <v>1</v>
      </c>
      <c r="N394" s="5">
        <v>1</v>
      </c>
      <c r="O394" s="5"/>
      <c r="P394" s="5">
        <v>1</v>
      </c>
      <c r="Q394" s="5">
        <v>0</v>
      </c>
      <c r="R394" s="5">
        <v>2</v>
      </c>
      <c r="S394" s="5">
        <v>0</v>
      </c>
      <c r="T394" s="5">
        <v>1</v>
      </c>
      <c r="U394" s="5">
        <v>1</v>
      </c>
      <c r="V394" s="5">
        <v>0</v>
      </c>
      <c r="W394" s="5">
        <v>0</v>
      </c>
      <c r="X394" s="5">
        <v>14</v>
      </c>
      <c r="Y394" s="5">
        <v>0</v>
      </c>
      <c r="Z394" s="5">
        <v>7</v>
      </c>
      <c r="AA394" s="5">
        <v>1</v>
      </c>
      <c r="AB394" s="5">
        <v>8</v>
      </c>
      <c r="AC394" s="5">
        <v>1</v>
      </c>
      <c r="AD394" s="56">
        <v>0</v>
      </c>
      <c r="AE394" s="53">
        <v>392</v>
      </c>
      <c r="AF394" s="142"/>
    </row>
    <row r="395" spans="1:32" ht="15">
      <c r="A395" s="47" t="s">
        <v>876</v>
      </c>
      <c r="B395" s="4" t="s">
        <v>877</v>
      </c>
      <c r="C395" s="38" t="s">
        <v>649</v>
      </c>
      <c r="D395" s="31" t="s">
        <v>866</v>
      </c>
      <c r="E395" s="10" t="s">
        <v>43</v>
      </c>
      <c r="F395" s="4">
        <v>6</v>
      </c>
      <c r="G395" s="4">
        <v>2</v>
      </c>
      <c r="H395" s="4" t="s">
        <v>44</v>
      </c>
      <c r="I395" s="24" t="str">
        <f>A395</f>
        <v>A1.030.050</v>
      </c>
      <c r="J395" s="31"/>
      <c r="K395" s="4"/>
      <c r="L395" s="4"/>
      <c r="M395" s="16">
        <v>1</v>
      </c>
      <c r="N395" s="5">
        <v>1</v>
      </c>
      <c r="O395" s="5"/>
      <c r="P395" s="5">
        <v>1</v>
      </c>
      <c r="Q395" s="5">
        <v>0</v>
      </c>
      <c r="R395" s="5">
        <v>1</v>
      </c>
      <c r="S395" s="5">
        <v>0</v>
      </c>
      <c r="T395" s="5">
        <v>1</v>
      </c>
      <c r="U395" s="5">
        <v>1</v>
      </c>
      <c r="V395" s="5">
        <v>0</v>
      </c>
      <c r="W395" s="5">
        <v>0</v>
      </c>
      <c r="X395" s="5">
        <v>6</v>
      </c>
      <c r="Y395" s="5">
        <v>0</v>
      </c>
      <c r="Z395" s="5">
        <v>3</v>
      </c>
      <c r="AA395" s="5">
        <v>1</v>
      </c>
      <c r="AB395" s="5">
        <v>4</v>
      </c>
      <c r="AC395" s="5">
        <v>1</v>
      </c>
      <c r="AD395" s="56">
        <v>0</v>
      </c>
      <c r="AE395" s="53">
        <v>393</v>
      </c>
      <c r="AF395" s="142"/>
    </row>
    <row r="396" spans="1:32" ht="15">
      <c r="A396" s="47" t="s">
        <v>878</v>
      </c>
      <c r="B396" s="4" t="s">
        <v>879</v>
      </c>
      <c r="C396" s="38" t="s">
        <v>649</v>
      </c>
      <c r="D396" s="31" t="s">
        <v>866</v>
      </c>
      <c r="E396" s="10" t="s">
        <v>43</v>
      </c>
      <c r="F396" s="4">
        <v>6</v>
      </c>
      <c r="G396" s="4">
        <v>2</v>
      </c>
      <c r="H396" s="4" t="s">
        <v>44</v>
      </c>
      <c r="I396" s="24" t="str">
        <f>A396</f>
        <v>A1.030.051</v>
      </c>
      <c r="J396" s="31"/>
      <c r="K396" s="4"/>
      <c r="L396" s="4"/>
      <c r="M396" s="16">
        <v>1</v>
      </c>
      <c r="N396" s="5">
        <v>1</v>
      </c>
      <c r="O396" s="5"/>
      <c r="P396" s="5">
        <v>1</v>
      </c>
      <c r="Q396" s="5">
        <v>0</v>
      </c>
      <c r="R396" s="5">
        <v>1</v>
      </c>
      <c r="S396" s="5">
        <v>0</v>
      </c>
      <c r="T396" s="5">
        <v>1</v>
      </c>
      <c r="U396" s="5">
        <v>1</v>
      </c>
      <c r="V396" s="5">
        <v>0</v>
      </c>
      <c r="W396" s="5">
        <v>0</v>
      </c>
      <c r="X396" s="5">
        <v>3</v>
      </c>
      <c r="Y396" s="5">
        <v>0</v>
      </c>
      <c r="Z396" s="5">
        <v>1</v>
      </c>
      <c r="AA396" s="5">
        <v>1</v>
      </c>
      <c r="AB396" s="5">
        <v>2</v>
      </c>
      <c r="AC396" s="5">
        <v>1</v>
      </c>
      <c r="AD396" s="56">
        <v>0</v>
      </c>
      <c r="AE396" s="53">
        <v>394</v>
      </c>
      <c r="AF396" s="142"/>
    </row>
    <row r="397" spans="1:32" ht="15">
      <c r="A397" s="47" t="s">
        <v>880</v>
      </c>
      <c r="B397" s="4" t="s">
        <v>881</v>
      </c>
      <c r="C397" s="38" t="s">
        <v>649</v>
      </c>
      <c r="D397" s="31" t="s">
        <v>866</v>
      </c>
      <c r="E397" s="4" t="s">
        <v>57</v>
      </c>
      <c r="F397" s="4">
        <v>3</v>
      </c>
      <c r="G397" s="4">
        <v>1</v>
      </c>
      <c r="H397" s="4" t="s">
        <v>58</v>
      </c>
      <c r="I397" s="24" t="str">
        <f>A397</f>
        <v>A2.020.023</v>
      </c>
      <c r="J397" s="31"/>
      <c r="K397" s="4"/>
      <c r="L397" s="4"/>
      <c r="M397" s="16">
        <v>1</v>
      </c>
      <c r="N397" s="5">
        <v>1</v>
      </c>
      <c r="O397" s="5"/>
      <c r="P397" s="5">
        <v>1</v>
      </c>
      <c r="Q397" s="5">
        <v>0</v>
      </c>
      <c r="R397" s="5">
        <v>1</v>
      </c>
      <c r="S397" s="5">
        <v>0</v>
      </c>
      <c r="T397" s="5">
        <v>1</v>
      </c>
      <c r="U397" s="5">
        <v>1</v>
      </c>
      <c r="V397" s="5">
        <v>0</v>
      </c>
      <c r="W397" s="5">
        <v>0</v>
      </c>
      <c r="X397" s="5">
        <v>1</v>
      </c>
      <c r="Y397" s="5">
        <v>0</v>
      </c>
      <c r="Z397" s="5">
        <v>1</v>
      </c>
      <c r="AA397" s="5">
        <v>1</v>
      </c>
      <c r="AB397" s="5">
        <v>1</v>
      </c>
      <c r="AC397" s="5">
        <v>1</v>
      </c>
      <c r="AD397" s="56">
        <v>0</v>
      </c>
      <c r="AE397" s="20">
        <v>395</v>
      </c>
      <c r="AF397" s="142"/>
    </row>
    <row r="398" spans="1:32" s="2" customFormat="1" ht="15">
      <c r="A398" s="126" t="s">
        <v>882</v>
      </c>
      <c r="B398" s="7" t="s">
        <v>883</v>
      </c>
      <c r="C398" s="130" t="s">
        <v>649</v>
      </c>
      <c r="D398" s="127" t="s">
        <v>866</v>
      </c>
      <c r="E398" s="4" t="s">
        <v>57</v>
      </c>
      <c r="F398" s="7">
        <v>3</v>
      </c>
      <c r="G398" s="7"/>
      <c r="H398" s="7" t="s">
        <v>58</v>
      </c>
      <c r="I398" s="30" t="str">
        <f>A398</f>
        <v>A2.020.028</v>
      </c>
      <c r="J398" s="127"/>
      <c r="K398" s="7"/>
      <c r="L398" s="7"/>
      <c r="M398" s="128">
        <v>1</v>
      </c>
      <c r="N398" s="8">
        <v>1</v>
      </c>
      <c r="O398" s="8"/>
      <c r="P398" s="8">
        <v>1</v>
      </c>
      <c r="Q398" s="8">
        <v>0</v>
      </c>
      <c r="R398" s="8">
        <v>1</v>
      </c>
      <c r="S398" s="8">
        <v>0</v>
      </c>
      <c r="T398" s="8">
        <v>1</v>
      </c>
      <c r="U398" s="8">
        <v>1</v>
      </c>
      <c r="V398" s="8">
        <v>0</v>
      </c>
      <c r="W398" s="8">
        <v>0</v>
      </c>
      <c r="X398" s="8">
        <v>2</v>
      </c>
      <c r="Y398" s="8">
        <v>0</v>
      </c>
      <c r="Z398" s="8">
        <v>2</v>
      </c>
      <c r="AA398" s="8">
        <v>2</v>
      </c>
      <c r="AB398" s="8">
        <v>1</v>
      </c>
      <c r="AC398" s="8">
        <v>1</v>
      </c>
      <c r="AD398" s="105">
        <v>0</v>
      </c>
      <c r="AE398" s="20">
        <v>396</v>
      </c>
      <c r="AF398" s="145"/>
    </row>
    <row r="399" spans="1:32" ht="15">
      <c r="A399" s="47" t="s">
        <v>884</v>
      </c>
      <c r="B399" s="4" t="s">
        <v>885</v>
      </c>
      <c r="C399" s="38" t="s">
        <v>649</v>
      </c>
      <c r="D399" s="31" t="s">
        <v>866</v>
      </c>
      <c r="E399" s="4" t="s">
        <v>57</v>
      </c>
      <c r="F399" s="4">
        <v>3</v>
      </c>
      <c r="G399" s="4">
        <v>1</v>
      </c>
      <c r="H399" s="4" t="s">
        <v>58</v>
      </c>
      <c r="I399" s="24" t="str">
        <f>A399</f>
        <v>A2.020.029</v>
      </c>
      <c r="J399" s="31"/>
      <c r="K399" s="4"/>
      <c r="L399" s="4"/>
      <c r="M399" s="16">
        <v>1</v>
      </c>
      <c r="N399" s="5">
        <v>1</v>
      </c>
      <c r="O399" s="5"/>
      <c r="P399" s="5">
        <v>1</v>
      </c>
      <c r="Q399" s="5">
        <v>0</v>
      </c>
      <c r="R399" s="5">
        <v>1</v>
      </c>
      <c r="S399" s="5">
        <v>0</v>
      </c>
      <c r="T399" s="5">
        <v>1</v>
      </c>
      <c r="U399" s="5">
        <v>1</v>
      </c>
      <c r="V399" s="5">
        <v>0</v>
      </c>
      <c r="W399" s="5">
        <v>0</v>
      </c>
      <c r="X399" s="5">
        <v>7</v>
      </c>
      <c r="Y399" s="5">
        <v>0</v>
      </c>
      <c r="Z399" s="5">
        <v>1</v>
      </c>
      <c r="AA399" s="5">
        <v>1</v>
      </c>
      <c r="AB399" s="5">
        <v>1</v>
      </c>
      <c r="AC399" s="5">
        <v>1</v>
      </c>
      <c r="AD399" s="56">
        <v>0</v>
      </c>
      <c r="AE399" s="53">
        <v>397</v>
      </c>
      <c r="AF399" s="142"/>
    </row>
    <row r="400" spans="1:32" ht="15">
      <c r="A400" s="47" t="s">
        <v>886</v>
      </c>
      <c r="B400" s="4" t="s">
        <v>887</v>
      </c>
      <c r="C400" s="38" t="s">
        <v>865</v>
      </c>
      <c r="D400" s="31" t="s">
        <v>866</v>
      </c>
      <c r="E400" s="4" t="s">
        <v>57</v>
      </c>
      <c r="F400" s="4">
        <v>5</v>
      </c>
      <c r="G400" s="4">
        <v>2</v>
      </c>
      <c r="H400" s="4" t="s">
        <v>58</v>
      </c>
      <c r="I400" s="29" t="s">
        <v>888</v>
      </c>
      <c r="J400" s="31"/>
      <c r="K400" s="4"/>
      <c r="L400" s="4"/>
      <c r="M400" s="16">
        <v>1</v>
      </c>
      <c r="N400" s="5">
        <v>1</v>
      </c>
      <c r="O400" s="5"/>
      <c r="P400" s="5">
        <v>1</v>
      </c>
      <c r="Q400" s="5">
        <v>0</v>
      </c>
      <c r="R400" s="5">
        <v>3</v>
      </c>
      <c r="S400" s="5">
        <v>0</v>
      </c>
      <c r="T400" s="5">
        <v>1</v>
      </c>
      <c r="U400" s="5">
        <v>1</v>
      </c>
      <c r="V400" s="5">
        <v>0</v>
      </c>
      <c r="W400" s="5">
        <v>0</v>
      </c>
      <c r="X400" s="5">
        <v>12</v>
      </c>
      <c r="Y400" s="5">
        <v>0</v>
      </c>
      <c r="Z400" s="5">
        <v>8</v>
      </c>
      <c r="AA400" s="5">
        <v>2</v>
      </c>
      <c r="AB400" s="5">
        <v>10</v>
      </c>
      <c r="AC400" s="5">
        <v>1</v>
      </c>
      <c r="AD400" s="56">
        <v>0</v>
      </c>
      <c r="AE400" s="53">
        <v>398</v>
      </c>
      <c r="AF400" s="142"/>
    </row>
    <row r="401" spans="1:32" ht="15">
      <c r="A401" s="47" t="s">
        <v>889</v>
      </c>
      <c r="B401" s="4" t="s">
        <v>890</v>
      </c>
      <c r="C401" s="38" t="s">
        <v>865</v>
      </c>
      <c r="D401" s="31" t="s">
        <v>866</v>
      </c>
      <c r="E401" s="4" t="s">
        <v>57</v>
      </c>
      <c r="F401" s="4">
        <v>5</v>
      </c>
      <c r="G401" s="4">
        <v>2</v>
      </c>
      <c r="H401" s="4" t="s">
        <v>58</v>
      </c>
      <c r="I401" s="29" t="s">
        <v>891</v>
      </c>
      <c r="J401" s="31"/>
      <c r="K401" s="4"/>
      <c r="L401" s="4"/>
      <c r="M401" s="16">
        <v>1</v>
      </c>
      <c r="N401" s="5">
        <v>1</v>
      </c>
      <c r="O401" s="5"/>
      <c r="P401" s="5">
        <v>1</v>
      </c>
      <c r="Q401" s="5">
        <v>0</v>
      </c>
      <c r="R401" s="5">
        <v>3</v>
      </c>
      <c r="S401" s="5">
        <v>0</v>
      </c>
      <c r="T401" s="5">
        <v>1</v>
      </c>
      <c r="U401" s="5">
        <v>2</v>
      </c>
      <c r="V401" s="5">
        <v>0</v>
      </c>
      <c r="W401" s="5">
        <v>0</v>
      </c>
      <c r="X401" s="5">
        <v>18</v>
      </c>
      <c r="Y401" s="5">
        <v>0</v>
      </c>
      <c r="Z401" s="5">
        <v>9</v>
      </c>
      <c r="AA401" s="5">
        <v>2</v>
      </c>
      <c r="AB401" s="5">
        <v>12</v>
      </c>
      <c r="AC401" s="5">
        <v>1</v>
      </c>
      <c r="AD401" s="56">
        <v>0</v>
      </c>
      <c r="AE401" s="53">
        <v>399</v>
      </c>
      <c r="AF401" s="142"/>
    </row>
    <row r="402" spans="1:32" ht="15" customHeight="1">
      <c r="A402" s="47" t="s">
        <v>892</v>
      </c>
      <c r="B402" s="4" t="s">
        <v>893</v>
      </c>
      <c r="C402" s="38" t="s">
        <v>865</v>
      </c>
      <c r="D402" s="31" t="s">
        <v>866</v>
      </c>
      <c r="E402" s="4" t="s">
        <v>57</v>
      </c>
      <c r="F402" s="4">
        <v>6</v>
      </c>
      <c r="G402" s="4">
        <v>2</v>
      </c>
      <c r="H402" s="4" t="s">
        <v>58</v>
      </c>
      <c r="I402" s="29" t="s">
        <v>894</v>
      </c>
      <c r="J402" s="31"/>
      <c r="K402" s="4"/>
      <c r="L402" s="4"/>
      <c r="M402" s="16">
        <v>1</v>
      </c>
      <c r="N402" s="5">
        <v>1</v>
      </c>
      <c r="O402" s="5"/>
      <c r="P402" s="5">
        <v>1</v>
      </c>
      <c r="Q402" s="5">
        <v>0</v>
      </c>
      <c r="R402" s="5">
        <v>3</v>
      </c>
      <c r="S402" s="5">
        <v>0</v>
      </c>
      <c r="T402" s="5">
        <v>1</v>
      </c>
      <c r="U402" s="5">
        <v>2</v>
      </c>
      <c r="V402" s="5">
        <v>0</v>
      </c>
      <c r="W402" s="5">
        <v>0</v>
      </c>
      <c r="X402" s="5">
        <v>10</v>
      </c>
      <c r="Y402" s="5">
        <v>0</v>
      </c>
      <c r="Z402" s="5">
        <v>8</v>
      </c>
      <c r="AA402" s="5">
        <v>2</v>
      </c>
      <c r="AB402" s="5">
        <v>10</v>
      </c>
      <c r="AC402" s="5">
        <v>1</v>
      </c>
      <c r="AD402" s="56">
        <v>0</v>
      </c>
      <c r="AE402" s="20">
        <v>400</v>
      </c>
      <c r="AF402" s="142"/>
    </row>
    <row r="403" spans="1:32" ht="15">
      <c r="A403" s="47" t="s">
        <v>895</v>
      </c>
      <c r="B403" s="4" t="s">
        <v>896</v>
      </c>
      <c r="C403" s="38" t="s">
        <v>865</v>
      </c>
      <c r="D403" s="31" t="s">
        <v>866</v>
      </c>
      <c r="E403" s="4" t="s">
        <v>71</v>
      </c>
      <c r="F403" s="4">
        <v>4</v>
      </c>
      <c r="G403" s="4">
        <v>1</v>
      </c>
      <c r="H403" s="4" t="s">
        <v>72</v>
      </c>
      <c r="I403" s="29" t="s">
        <v>770</v>
      </c>
      <c r="J403" s="31"/>
      <c r="K403" s="4"/>
      <c r="L403" s="4"/>
      <c r="M403" s="16">
        <v>1</v>
      </c>
      <c r="N403" s="5">
        <v>1</v>
      </c>
      <c r="O403" s="5"/>
      <c r="P403" s="5">
        <v>1</v>
      </c>
      <c r="Q403" s="5">
        <v>0</v>
      </c>
      <c r="R403" s="5">
        <v>3</v>
      </c>
      <c r="S403" s="5">
        <v>0</v>
      </c>
      <c r="T403" s="5">
        <v>2</v>
      </c>
      <c r="U403" s="5">
        <v>2</v>
      </c>
      <c r="V403" s="5">
        <v>0</v>
      </c>
      <c r="W403" s="5">
        <v>0</v>
      </c>
      <c r="X403" s="5">
        <v>11</v>
      </c>
      <c r="Y403" s="5">
        <v>0</v>
      </c>
      <c r="Z403" s="5">
        <v>8</v>
      </c>
      <c r="AA403" s="5">
        <v>2</v>
      </c>
      <c r="AB403" s="5">
        <v>10</v>
      </c>
      <c r="AC403" s="5">
        <v>1</v>
      </c>
      <c r="AD403" s="56">
        <v>0</v>
      </c>
      <c r="AE403" s="20">
        <v>401</v>
      </c>
      <c r="AF403" s="142"/>
    </row>
    <row r="404" spans="1:32" ht="15">
      <c r="A404" s="47" t="s">
        <v>897</v>
      </c>
      <c r="B404" s="4" t="s">
        <v>898</v>
      </c>
      <c r="C404" s="38" t="s">
        <v>649</v>
      </c>
      <c r="D404" s="31" t="s">
        <v>866</v>
      </c>
      <c r="E404" s="4" t="s">
        <v>71</v>
      </c>
      <c r="F404" s="4">
        <v>4</v>
      </c>
      <c r="G404" s="4">
        <v>1</v>
      </c>
      <c r="H404" s="4" t="s">
        <v>72</v>
      </c>
      <c r="I404" s="24" t="str">
        <f>A404</f>
        <v>S1.030.103</v>
      </c>
      <c r="J404" s="31"/>
      <c r="K404" s="4"/>
      <c r="L404" s="4"/>
      <c r="M404" s="16">
        <v>1</v>
      </c>
      <c r="N404" s="5">
        <v>1</v>
      </c>
      <c r="O404" s="5"/>
      <c r="P404" s="5">
        <v>1</v>
      </c>
      <c r="Q404" s="5">
        <v>0</v>
      </c>
      <c r="R404" s="5">
        <v>1</v>
      </c>
      <c r="S404" s="5">
        <v>0</v>
      </c>
      <c r="T404" s="5">
        <v>1</v>
      </c>
      <c r="U404" s="5">
        <v>1</v>
      </c>
      <c r="V404" s="5">
        <v>0</v>
      </c>
      <c r="W404" s="5">
        <v>0</v>
      </c>
      <c r="X404" s="5">
        <v>1</v>
      </c>
      <c r="Y404" s="5">
        <v>0</v>
      </c>
      <c r="Z404" s="5">
        <v>1</v>
      </c>
      <c r="AA404" s="5">
        <v>1</v>
      </c>
      <c r="AB404" s="5">
        <v>1</v>
      </c>
      <c r="AC404" s="5">
        <v>1</v>
      </c>
      <c r="AD404" s="56">
        <v>0</v>
      </c>
      <c r="AE404" s="53">
        <v>402</v>
      </c>
      <c r="AF404" s="142"/>
    </row>
    <row r="405" spans="1:32" ht="15" customHeight="1">
      <c r="A405" s="47" t="s">
        <v>899</v>
      </c>
      <c r="B405" s="4" t="s">
        <v>900</v>
      </c>
      <c r="C405" s="38" t="s">
        <v>865</v>
      </c>
      <c r="D405" s="31" t="s">
        <v>866</v>
      </c>
      <c r="E405" s="4" t="s">
        <v>83</v>
      </c>
      <c r="F405" s="4">
        <v>4</v>
      </c>
      <c r="G405" s="4">
        <v>1</v>
      </c>
      <c r="H405" s="4" t="s">
        <v>84</v>
      </c>
      <c r="I405" s="29" t="s">
        <v>781</v>
      </c>
      <c r="J405" s="31"/>
      <c r="K405" s="4"/>
      <c r="L405" s="4"/>
      <c r="M405" s="16">
        <v>1</v>
      </c>
      <c r="N405" s="5">
        <v>1</v>
      </c>
      <c r="O405" s="5"/>
      <c r="P405" s="5">
        <v>1</v>
      </c>
      <c r="Q405" s="5">
        <v>0</v>
      </c>
      <c r="R405" s="5">
        <v>3</v>
      </c>
      <c r="S405" s="5">
        <v>0</v>
      </c>
      <c r="T405" s="5">
        <v>2</v>
      </c>
      <c r="U405" s="5">
        <v>2</v>
      </c>
      <c r="V405" s="5">
        <v>0</v>
      </c>
      <c r="W405" s="5">
        <v>0</v>
      </c>
      <c r="X405" s="5">
        <v>11</v>
      </c>
      <c r="Y405" s="5">
        <v>0</v>
      </c>
      <c r="Z405" s="5">
        <v>8</v>
      </c>
      <c r="AA405" s="5">
        <v>2</v>
      </c>
      <c r="AB405" s="5">
        <v>10</v>
      </c>
      <c r="AC405" s="5">
        <v>1</v>
      </c>
      <c r="AD405" s="56">
        <v>0</v>
      </c>
      <c r="AE405" s="53">
        <v>403</v>
      </c>
      <c r="AF405" s="142"/>
    </row>
    <row r="406" spans="1:32" ht="15">
      <c r="A406" s="47" t="s">
        <v>901</v>
      </c>
      <c r="B406" s="4" t="s">
        <v>902</v>
      </c>
      <c r="C406" s="38" t="s">
        <v>649</v>
      </c>
      <c r="D406" s="31" t="s">
        <v>866</v>
      </c>
      <c r="E406" s="4" t="s">
        <v>83</v>
      </c>
      <c r="F406" s="4">
        <v>4</v>
      </c>
      <c r="G406" s="4">
        <v>1</v>
      </c>
      <c r="H406" s="4" t="s">
        <v>84</v>
      </c>
      <c r="I406" s="24" t="str">
        <f>A406</f>
        <v>S2.030.203</v>
      </c>
      <c r="J406" s="31"/>
      <c r="K406" s="4"/>
      <c r="L406" s="4"/>
      <c r="M406" s="16">
        <v>1</v>
      </c>
      <c r="N406" s="5">
        <v>1</v>
      </c>
      <c r="O406" s="5"/>
      <c r="P406" s="5">
        <v>1</v>
      </c>
      <c r="Q406" s="5">
        <v>0</v>
      </c>
      <c r="R406" s="5">
        <v>1</v>
      </c>
      <c r="S406" s="5">
        <v>0</v>
      </c>
      <c r="T406" s="5">
        <v>1</v>
      </c>
      <c r="U406" s="5">
        <v>1</v>
      </c>
      <c r="V406" s="5">
        <v>0</v>
      </c>
      <c r="W406" s="5">
        <v>0</v>
      </c>
      <c r="X406" s="5">
        <v>1</v>
      </c>
      <c r="Y406" s="5">
        <v>0</v>
      </c>
      <c r="Z406" s="5">
        <v>1</v>
      </c>
      <c r="AA406" s="5">
        <v>1</v>
      </c>
      <c r="AB406" s="5">
        <v>1</v>
      </c>
      <c r="AC406" s="5">
        <v>1</v>
      </c>
      <c r="AD406" s="56">
        <v>0</v>
      </c>
      <c r="AE406" s="53">
        <v>404</v>
      </c>
      <c r="AF406" s="142"/>
    </row>
    <row r="407" spans="1:32" ht="15" customHeight="1">
      <c r="A407" s="47" t="s">
        <v>903</v>
      </c>
      <c r="B407" s="90" t="s">
        <v>904</v>
      </c>
      <c r="C407" s="38" t="s">
        <v>865</v>
      </c>
      <c r="D407" s="31" t="s">
        <v>866</v>
      </c>
      <c r="E407" s="4" t="s">
        <v>95</v>
      </c>
      <c r="F407" s="4">
        <v>4</v>
      </c>
      <c r="G407" s="4">
        <v>1</v>
      </c>
      <c r="H407" s="4" t="s">
        <v>96</v>
      </c>
      <c r="I407" s="29" t="s">
        <v>792</v>
      </c>
      <c r="J407" s="31"/>
      <c r="K407" s="4"/>
      <c r="L407" s="4"/>
      <c r="M407" s="16">
        <v>1</v>
      </c>
      <c r="N407" s="5">
        <v>1</v>
      </c>
      <c r="O407" s="5"/>
      <c r="P407" s="5">
        <v>1</v>
      </c>
      <c r="Q407" s="5">
        <v>0</v>
      </c>
      <c r="R407" s="5">
        <v>3</v>
      </c>
      <c r="S407" s="5">
        <v>0</v>
      </c>
      <c r="T407" s="5">
        <v>2</v>
      </c>
      <c r="U407" s="5">
        <v>2</v>
      </c>
      <c r="V407" s="5">
        <v>0</v>
      </c>
      <c r="W407" s="5">
        <v>0</v>
      </c>
      <c r="X407" s="5">
        <v>11</v>
      </c>
      <c r="Y407" s="5">
        <v>0</v>
      </c>
      <c r="Z407" s="5">
        <v>8</v>
      </c>
      <c r="AA407" s="5">
        <v>2</v>
      </c>
      <c r="AB407" s="5">
        <v>10</v>
      </c>
      <c r="AC407" s="5">
        <v>1</v>
      </c>
      <c r="AD407" s="56">
        <v>0</v>
      </c>
      <c r="AE407" s="20">
        <v>405</v>
      </c>
      <c r="AF407" s="142"/>
    </row>
    <row r="408" spans="1:32" ht="15" customHeight="1">
      <c r="A408" s="47" t="s">
        <v>905</v>
      </c>
      <c r="B408" s="90" t="s">
        <v>906</v>
      </c>
      <c r="C408" s="38" t="s">
        <v>649</v>
      </c>
      <c r="D408" s="31" t="s">
        <v>866</v>
      </c>
      <c r="E408" s="4" t="s">
        <v>95</v>
      </c>
      <c r="F408" s="4">
        <v>4</v>
      </c>
      <c r="G408" s="4">
        <v>1</v>
      </c>
      <c r="H408" s="4" t="s">
        <v>96</v>
      </c>
      <c r="I408" s="24" t="str">
        <f>A408</f>
        <v>S3.030.303</v>
      </c>
      <c r="J408" s="31"/>
      <c r="K408" s="4"/>
      <c r="L408" s="4"/>
      <c r="M408" s="16">
        <v>1</v>
      </c>
      <c r="N408" s="5">
        <v>1</v>
      </c>
      <c r="O408" s="5"/>
      <c r="P408" s="5">
        <v>1</v>
      </c>
      <c r="Q408" s="5">
        <v>0</v>
      </c>
      <c r="R408" s="5">
        <v>1</v>
      </c>
      <c r="S408" s="5">
        <v>0</v>
      </c>
      <c r="T408" s="5">
        <v>1</v>
      </c>
      <c r="U408" s="5">
        <v>1</v>
      </c>
      <c r="V408" s="5">
        <v>0</v>
      </c>
      <c r="W408" s="5">
        <v>0</v>
      </c>
      <c r="X408" s="5">
        <v>1</v>
      </c>
      <c r="Y408" s="5">
        <v>0</v>
      </c>
      <c r="Z408" s="5">
        <v>1</v>
      </c>
      <c r="AA408" s="5">
        <v>1</v>
      </c>
      <c r="AB408" s="5">
        <v>1</v>
      </c>
      <c r="AC408" s="5">
        <v>1</v>
      </c>
      <c r="AD408" s="56">
        <v>0</v>
      </c>
      <c r="AE408" s="20">
        <v>406</v>
      </c>
      <c r="AF408" s="142"/>
    </row>
    <row r="409" spans="1:32" ht="15">
      <c r="A409" s="47" t="s">
        <v>907</v>
      </c>
      <c r="B409" s="4" t="s">
        <v>908</v>
      </c>
      <c r="C409" s="38" t="s">
        <v>865</v>
      </c>
      <c r="D409" s="31" t="s">
        <v>866</v>
      </c>
      <c r="E409" s="4" t="s">
        <v>107</v>
      </c>
      <c r="F409" s="4">
        <v>4</v>
      </c>
      <c r="G409" s="4">
        <v>1</v>
      </c>
      <c r="H409" s="4" t="s">
        <v>108</v>
      </c>
      <c r="I409" s="29" t="s">
        <v>803</v>
      </c>
      <c r="J409" s="31"/>
      <c r="K409" s="4"/>
      <c r="L409" s="4"/>
      <c r="M409" s="16">
        <v>1</v>
      </c>
      <c r="N409" s="5">
        <v>1</v>
      </c>
      <c r="O409" s="5"/>
      <c r="P409" s="5">
        <v>1</v>
      </c>
      <c r="Q409" s="5">
        <v>0</v>
      </c>
      <c r="R409" s="5">
        <v>3</v>
      </c>
      <c r="S409" s="5">
        <v>0</v>
      </c>
      <c r="T409" s="5">
        <v>2</v>
      </c>
      <c r="U409" s="5">
        <v>2</v>
      </c>
      <c r="V409" s="5">
        <v>0</v>
      </c>
      <c r="W409" s="5">
        <v>0</v>
      </c>
      <c r="X409" s="5">
        <v>11</v>
      </c>
      <c r="Y409" s="5">
        <v>0</v>
      </c>
      <c r="Z409" s="5">
        <v>8</v>
      </c>
      <c r="AA409" s="5">
        <v>2</v>
      </c>
      <c r="AB409" s="5">
        <v>10</v>
      </c>
      <c r="AC409" s="5">
        <v>1</v>
      </c>
      <c r="AD409" s="56">
        <v>0</v>
      </c>
      <c r="AE409" s="53">
        <v>407</v>
      </c>
      <c r="AF409" s="142"/>
    </row>
    <row r="410" spans="1:32" ht="15">
      <c r="A410" s="47" t="s">
        <v>909</v>
      </c>
      <c r="B410" s="4" t="s">
        <v>910</v>
      </c>
      <c r="C410" s="38" t="s">
        <v>649</v>
      </c>
      <c r="D410" s="31" t="s">
        <v>866</v>
      </c>
      <c r="E410" s="4" t="s">
        <v>107</v>
      </c>
      <c r="F410" s="4">
        <v>4</v>
      </c>
      <c r="G410" s="4">
        <v>1</v>
      </c>
      <c r="H410" s="4" t="s">
        <v>108</v>
      </c>
      <c r="I410" s="24" t="str">
        <f>A410</f>
        <v>S4.030.403</v>
      </c>
      <c r="J410" s="31"/>
      <c r="K410" s="4"/>
      <c r="L410" s="4"/>
      <c r="M410" s="16">
        <v>1</v>
      </c>
      <c r="N410" s="5">
        <v>1</v>
      </c>
      <c r="O410" s="5"/>
      <c r="P410" s="5">
        <v>1</v>
      </c>
      <c r="Q410" s="5">
        <v>0</v>
      </c>
      <c r="R410" s="5">
        <v>1</v>
      </c>
      <c r="S410" s="5">
        <v>0</v>
      </c>
      <c r="T410" s="5">
        <v>1</v>
      </c>
      <c r="U410" s="5">
        <v>1</v>
      </c>
      <c r="V410" s="5">
        <v>0</v>
      </c>
      <c r="W410" s="5">
        <v>0</v>
      </c>
      <c r="X410" s="5">
        <v>1</v>
      </c>
      <c r="Y410" s="5">
        <v>0</v>
      </c>
      <c r="Z410" s="5">
        <v>1</v>
      </c>
      <c r="AA410" s="5">
        <v>1</v>
      </c>
      <c r="AB410" s="5">
        <v>1</v>
      </c>
      <c r="AC410" s="5">
        <v>1</v>
      </c>
      <c r="AD410" s="56">
        <v>0</v>
      </c>
      <c r="AE410" s="53">
        <v>408</v>
      </c>
      <c r="AF410" s="142"/>
    </row>
    <row r="411" spans="1:32" ht="15">
      <c r="A411" s="47" t="s">
        <v>911</v>
      </c>
      <c r="B411" s="4" t="s">
        <v>912</v>
      </c>
      <c r="C411" s="38" t="s">
        <v>865</v>
      </c>
      <c r="D411" s="31" t="s">
        <v>866</v>
      </c>
      <c r="E411" s="4" t="s">
        <v>119</v>
      </c>
      <c r="F411" s="4">
        <v>4</v>
      </c>
      <c r="G411" s="4">
        <v>1</v>
      </c>
      <c r="H411" s="4" t="s">
        <v>120</v>
      </c>
      <c r="I411" s="29" t="s">
        <v>814</v>
      </c>
      <c r="J411" s="31"/>
      <c r="K411" s="4"/>
      <c r="L411" s="4"/>
      <c r="M411" s="16">
        <v>1</v>
      </c>
      <c r="N411" s="5">
        <v>1</v>
      </c>
      <c r="O411" s="5"/>
      <c r="P411" s="5">
        <v>1</v>
      </c>
      <c r="Q411" s="5">
        <v>0</v>
      </c>
      <c r="R411" s="5">
        <v>3</v>
      </c>
      <c r="S411" s="5">
        <v>0</v>
      </c>
      <c r="T411" s="5">
        <v>2</v>
      </c>
      <c r="U411" s="5">
        <v>2</v>
      </c>
      <c r="V411" s="5">
        <v>0</v>
      </c>
      <c r="W411" s="5">
        <v>0</v>
      </c>
      <c r="X411" s="5">
        <v>11</v>
      </c>
      <c r="Y411" s="5">
        <v>0</v>
      </c>
      <c r="Z411" s="5">
        <v>8</v>
      </c>
      <c r="AA411" s="5">
        <v>2</v>
      </c>
      <c r="AB411" s="5">
        <v>10</v>
      </c>
      <c r="AC411" s="5">
        <v>1</v>
      </c>
      <c r="AD411" s="56">
        <v>0</v>
      </c>
      <c r="AE411" s="53">
        <v>409</v>
      </c>
      <c r="AF411" s="142"/>
    </row>
    <row r="412" spans="1:32" ht="15">
      <c r="A412" s="47" t="s">
        <v>913</v>
      </c>
      <c r="B412" s="4" t="s">
        <v>914</v>
      </c>
      <c r="C412" s="38" t="s">
        <v>649</v>
      </c>
      <c r="D412" s="31" t="s">
        <v>866</v>
      </c>
      <c r="E412" s="4" t="s">
        <v>119</v>
      </c>
      <c r="F412" s="4">
        <v>4</v>
      </c>
      <c r="G412" s="4">
        <v>1</v>
      </c>
      <c r="H412" s="4" t="s">
        <v>120</v>
      </c>
      <c r="I412" s="24" t="str">
        <f>A412</f>
        <v>S5.030.503</v>
      </c>
      <c r="J412" s="31"/>
      <c r="K412" s="4"/>
      <c r="L412" s="4"/>
      <c r="M412" s="16">
        <v>1</v>
      </c>
      <c r="N412" s="5">
        <v>1</v>
      </c>
      <c r="O412" s="5"/>
      <c r="P412" s="5">
        <v>1</v>
      </c>
      <c r="Q412" s="5">
        <v>0</v>
      </c>
      <c r="R412" s="5">
        <v>1</v>
      </c>
      <c r="S412" s="5">
        <v>0</v>
      </c>
      <c r="T412" s="5">
        <v>1</v>
      </c>
      <c r="U412" s="5">
        <v>1</v>
      </c>
      <c r="V412" s="5">
        <v>0</v>
      </c>
      <c r="W412" s="5">
        <v>0</v>
      </c>
      <c r="X412" s="5">
        <v>1</v>
      </c>
      <c r="Y412" s="5">
        <v>0</v>
      </c>
      <c r="Z412" s="5">
        <v>1</v>
      </c>
      <c r="AA412" s="5">
        <v>1</v>
      </c>
      <c r="AB412" s="5">
        <v>1</v>
      </c>
      <c r="AC412" s="5">
        <v>1</v>
      </c>
      <c r="AD412" s="56">
        <v>0</v>
      </c>
      <c r="AE412" s="20">
        <v>410</v>
      </c>
      <c r="AF412" s="142"/>
    </row>
    <row r="413" spans="1:32" ht="15" customHeight="1">
      <c r="A413" s="47" t="s">
        <v>915</v>
      </c>
      <c r="B413" s="4" t="s">
        <v>916</v>
      </c>
      <c r="C413" s="38" t="s">
        <v>865</v>
      </c>
      <c r="D413" s="31" t="s">
        <v>866</v>
      </c>
      <c r="E413" s="4" t="s">
        <v>131</v>
      </c>
      <c r="F413" s="4">
        <v>4</v>
      </c>
      <c r="G413" s="4">
        <v>1</v>
      </c>
      <c r="H413" s="4" t="s">
        <v>132</v>
      </c>
      <c r="I413" s="29" t="s">
        <v>825</v>
      </c>
      <c r="J413" s="31"/>
      <c r="K413" s="4"/>
      <c r="L413" s="4"/>
      <c r="M413" s="16">
        <v>1</v>
      </c>
      <c r="N413" s="5">
        <v>1</v>
      </c>
      <c r="O413" s="5"/>
      <c r="P413" s="5">
        <v>1</v>
      </c>
      <c r="Q413" s="5">
        <v>0</v>
      </c>
      <c r="R413" s="5">
        <v>3</v>
      </c>
      <c r="S413" s="5">
        <v>0</v>
      </c>
      <c r="T413" s="5">
        <v>2</v>
      </c>
      <c r="U413" s="5">
        <v>2</v>
      </c>
      <c r="V413" s="5">
        <v>0</v>
      </c>
      <c r="W413" s="5">
        <v>0</v>
      </c>
      <c r="X413" s="5">
        <v>11</v>
      </c>
      <c r="Y413" s="5">
        <v>0</v>
      </c>
      <c r="Z413" s="5">
        <v>8</v>
      </c>
      <c r="AA413" s="5">
        <v>2</v>
      </c>
      <c r="AB413" s="5">
        <v>10</v>
      </c>
      <c r="AC413" s="5">
        <v>1</v>
      </c>
      <c r="AD413" s="56">
        <v>0</v>
      </c>
      <c r="AE413" s="20">
        <v>411</v>
      </c>
      <c r="AF413" s="142"/>
    </row>
    <row r="414" spans="1:32" ht="15">
      <c r="A414" s="47" t="s">
        <v>917</v>
      </c>
      <c r="B414" s="4" t="s">
        <v>918</v>
      </c>
      <c r="C414" s="38" t="s">
        <v>649</v>
      </c>
      <c r="D414" s="31" t="s">
        <v>866</v>
      </c>
      <c r="E414" s="4" t="s">
        <v>131</v>
      </c>
      <c r="F414" s="4">
        <v>4</v>
      </c>
      <c r="G414" s="4">
        <v>1</v>
      </c>
      <c r="H414" s="4" t="s">
        <v>132</v>
      </c>
      <c r="I414" s="24" t="str">
        <f>A414</f>
        <v>S6.030.603</v>
      </c>
      <c r="J414" s="31"/>
      <c r="K414" s="4"/>
      <c r="L414" s="4"/>
      <c r="M414" s="16">
        <v>1</v>
      </c>
      <c r="N414" s="5">
        <v>1</v>
      </c>
      <c r="O414" s="5"/>
      <c r="P414" s="5">
        <v>1</v>
      </c>
      <c r="Q414" s="5">
        <v>0</v>
      </c>
      <c r="R414" s="5">
        <v>1</v>
      </c>
      <c r="S414" s="5">
        <v>0</v>
      </c>
      <c r="T414" s="5">
        <v>1</v>
      </c>
      <c r="U414" s="5">
        <v>1</v>
      </c>
      <c r="V414" s="5">
        <v>0</v>
      </c>
      <c r="W414" s="5">
        <v>0</v>
      </c>
      <c r="X414" s="5">
        <v>1</v>
      </c>
      <c r="Y414" s="5">
        <v>0</v>
      </c>
      <c r="Z414" s="5">
        <v>1</v>
      </c>
      <c r="AA414" s="5">
        <v>1</v>
      </c>
      <c r="AB414" s="5">
        <v>1</v>
      </c>
      <c r="AC414" s="5">
        <v>1</v>
      </c>
      <c r="AD414" s="56">
        <v>0</v>
      </c>
      <c r="AE414" s="53">
        <v>412</v>
      </c>
      <c r="AF414" s="142"/>
    </row>
    <row r="415" spans="1:32" ht="15">
      <c r="A415" s="47" t="s">
        <v>919</v>
      </c>
      <c r="B415" s="4" t="s">
        <v>920</v>
      </c>
      <c r="C415" s="38" t="s">
        <v>865</v>
      </c>
      <c r="D415" s="31" t="s">
        <v>866</v>
      </c>
      <c r="E415" s="4" t="s">
        <v>143</v>
      </c>
      <c r="F415" s="4">
        <v>4</v>
      </c>
      <c r="G415" s="4">
        <v>1</v>
      </c>
      <c r="H415" s="4" t="s">
        <v>144</v>
      </c>
      <c r="I415" s="29" t="s">
        <v>836</v>
      </c>
      <c r="J415" s="31"/>
      <c r="K415" s="4"/>
      <c r="L415" s="4"/>
      <c r="M415" s="16">
        <v>1</v>
      </c>
      <c r="N415" s="5">
        <v>1</v>
      </c>
      <c r="O415" s="5"/>
      <c r="P415" s="5">
        <v>1</v>
      </c>
      <c r="Q415" s="5">
        <v>0</v>
      </c>
      <c r="R415" s="5">
        <v>3</v>
      </c>
      <c r="S415" s="5">
        <v>0</v>
      </c>
      <c r="T415" s="5">
        <v>2</v>
      </c>
      <c r="U415" s="5">
        <v>2</v>
      </c>
      <c r="V415" s="5">
        <v>0</v>
      </c>
      <c r="W415" s="5">
        <v>0</v>
      </c>
      <c r="X415" s="5">
        <v>11</v>
      </c>
      <c r="Y415" s="5">
        <v>0</v>
      </c>
      <c r="Z415" s="5">
        <v>8</v>
      </c>
      <c r="AA415" s="5">
        <v>2</v>
      </c>
      <c r="AB415" s="5">
        <v>10</v>
      </c>
      <c r="AC415" s="5">
        <v>1</v>
      </c>
      <c r="AD415" s="56">
        <v>0</v>
      </c>
      <c r="AE415" s="53">
        <v>413</v>
      </c>
      <c r="AF415" s="142"/>
    </row>
    <row r="416" spans="1:32" ht="15">
      <c r="A416" s="47" t="s">
        <v>921</v>
      </c>
      <c r="B416" s="4" t="s">
        <v>922</v>
      </c>
      <c r="C416" s="38" t="s">
        <v>649</v>
      </c>
      <c r="D416" s="31" t="s">
        <v>866</v>
      </c>
      <c r="E416" s="4" t="s">
        <v>143</v>
      </c>
      <c r="F416" s="4">
        <v>4</v>
      </c>
      <c r="G416" s="4">
        <v>1</v>
      </c>
      <c r="H416" s="4" t="s">
        <v>144</v>
      </c>
      <c r="I416" s="24" t="str">
        <f>A416</f>
        <v>S7.030.703</v>
      </c>
      <c r="J416" s="31"/>
      <c r="K416" s="4"/>
      <c r="L416" s="4"/>
      <c r="M416" s="16">
        <v>1</v>
      </c>
      <c r="N416" s="5">
        <v>1</v>
      </c>
      <c r="O416" s="5"/>
      <c r="P416" s="5">
        <v>1</v>
      </c>
      <c r="Q416" s="5">
        <v>0</v>
      </c>
      <c r="R416" s="5">
        <v>1</v>
      </c>
      <c r="S416" s="5">
        <v>0</v>
      </c>
      <c r="T416" s="5">
        <v>1</v>
      </c>
      <c r="U416" s="5">
        <v>1</v>
      </c>
      <c r="V416" s="5">
        <v>0</v>
      </c>
      <c r="W416" s="5">
        <v>0</v>
      </c>
      <c r="X416" s="5">
        <v>1</v>
      </c>
      <c r="Y416" s="5">
        <v>0</v>
      </c>
      <c r="Z416" s="5">
        <v>1</v>
      </c>
      <c r="AA416" s="5">
        <v>1</v>
      </c>
      <c r="AB416" s="5">
        <v>1</v>
      </c>
      <c r="AC416" s="5">
        <v>1</v>
      </c>
      <c r="AD416" s="56">
        <v>0</v>
      </c>
      <c r="AE416" s="53">
        <v>414</v>
      </c>
      <c r="AF416" s="142"/>
    </row>
    <row r="417" spans="1:32" ht="15">
      <c r="A417" s="47" t="s">
        <v>923</v>
      </c>
      <c r="B417" s="4" t="s">
        <v>924</v>
      </c>
      <c r="C417" s="38" t="s">
        <v>865</v>
      </c>
      <c r="D417" s="31" t="s">
        <v>866</v>
      </c>
      <c r="E417" s="4" t="s">
        <v>155</v>
      </c>
      <c r="F417" s="4">
        <v>4</v>
      </c>
      <c r="G417" s="4">
        <v>1</v>
      </c>
      <c r="H417" s="4" t="s">
        <v>156</v>
      </c>
      <c r="I417" s="29" t="s">
        <v>847</v>
      </c>
      <c r="J417" s="31"/>
      <c r="K417" s="4"/>
      <c r="L417" s="4"/>
      <c r="M417" s="16">
        <v>1</v>
      </c>
      <c r="N417" s="5">
        <v>1</v>
      </c>
      <c r="O417" s="5"/>
      <c r="P417" s="5">
        <v>1</v>
      </c>
      <c r="Q417" s="5">
        <v>0</v>
      </c>
      <c r="R417" s="5">
        <v>3</v>
      </c>
      <c r="S417" s="5">
        <v>0</v>
      </c>
      <c r="T417" s="5">
        <v>2</v>
      </c>
      <c r="U417" s="5">
        <v>2</v>
      </c>
      <c r="V417" s="5">
        <v>0</v>
      </c>
      <c r="W417" s="5">
        <v>0</v>
      </c>
      <c r="X417" s="5">
        <v>11</v>
      </c>
      <c r="Y417" s="5">
        <v>0</v>
      </c>
      <c r="Z417" s="5">
        <v>8</v>
      </c>
      <c r="AA417" s="5">
        <v>2</v>
      </c>
      <c r="AB417" s="5">
        <v>10</v>
      </c>
      <c r="AC417" s="5">
        <v>1</v>
      </c>
      <c r="AD417" s="56">
        <v>0</v>
      </c>
      <c r="AE417" s="20">
        <v>415</v>
      </c>
      <c r="AF417" s="142"/>
    </row>
    <row r="418" spans="1:32" ht="15">
      <c r="A418" s="155" t="s">
        <v>925</v>
      </c>
      <c r="B418" s="163" t="s">
        <v>926</v>
      </c>
      <c r="C418" s="167" t="s">
        <v>649</v>
      </c>
      <c r="D418" s="174" t="s">
        <v>866</v>
      </c>
      <c r="E418" s="163" t="s">
        <v>155</v>
      </c>
      <c r="F418" s="163">
        <v>4</v>
      </c>
      <c r="G418" s="4">
        <v>1</v>
      </c>
      <c r="H418" s="163" t="s">
        <v>156</v>
      </c>
      <c r="I418" s="177" t="str">
        <f>A418</f>
        <v>S8.030.803</v>
      </c>
      <c r="J418" s="174"/>
      <c r="K418" s="163"/>
      <c r="L418" s="163"/>
      <c r="M418" s="184">
        <v>1</v>
      </c>
      <c r="N418" s="187">
        <v>1</v>
      </c>
      <c r="O418" s="187"/>
      <c r="P418" s="187">
        <v>1</v>
      </c>
      <c r="Q418" s="187">
        <v>0</v>
      </c>
      <c r="R418" s="187">
        <v>1</v>
      </c>
      <c r="S418" s="187">
        <v>0</v>
      </c>
      <c r="T418" s="187">
        <v>1</v>
      </c>
      <c r="U418" s="187">
        <v>1</v>
      </c>
      <c r="V418" s="187">
        <v>0</v>
      </c>
      <c r="W418" s="187">
        <v>0</v>
      </c>
      <c r="X418" s="187">
        <v>1</v>
      </c>
      <c r="Y418" s="187">
        <v>0</v>
      </c>
      <c r="Z418" s="187">
        <v>1</v>
      </c>
      <c r="AA418" s="187">
        <v>1</v>
      </c>
      <c r="AB418" s="187">
        <v>1</v>
      </c>
      <c r="AC418" s="187">
        <v>1</v>
      </c>
      <c r="AD418" s="197">
        <v>0</v>
      </c>
      <c r="AE418" s="20">
        <v>416</v>
      </c>
      <c r="AF418" s="142"/>
    </row>
    <row r="419" spans="1:32" s="51" customFormat="1" ht="15" customHeight="1">
      <c r="A419" s="93" t="s">
        <v>927</v>
      </c>
      <c r="B419" s="96"/>
      <c r="C419" s="165"/>
      <c r="D419" s="169"/>
      <c r="E419" s="96"/>
      <c r="F419" s="96"/>
      <c r="G419" s="96"/>
      <c r="H419" s="96"/>
      <c r="I419" s="175"/>
      <c r="J419" s="169"/>
      <c r="K419" s="96"/>
      <c r="L419" s="96"/>
      <c r="M419" s="101">
        <f>SUM(M420:M422)</f>
        <v>3</v>
      </c>
      <c r="N419" s="101">
        <f>SUM(N420:N422)</f>
        <v>5</v>
      </c>
      <c r="O419" s="101"/>
      <c r="P419" s="101">
        <f t="shared" ref="P419:AD419" si="32">SUM(P420:P422)</f>
        <v>2</v>
      </c>
      <c r="Q419" s="101">
        <f t="shared" si="32"/>
        <v>3</v>
      </c>
      <c r="R419" s="101">
        <f t="shared" si="32"/>
        <v>1</v>
      </c>
      <c r="S419" s="101">
        <f t="shared" si="32"/>
        <v>0</v>
      </c>
      <c r="T419" s="101">
        <f t="shared" si="32"/>
        <v>3</v>
      </c>
      <c r="U419" s="101">
        <f t="shared" si="32"/>
        <v>3</v>
      </c>
      <c r="V419" s="101">
        <f t="shared" si="32"/>
        <v>0</v>
      </c>
      <c r="W419" s="101">
        <f t="shared" si="32"/>
        <v>0</v>
      </c>
      <c r="X419" s="101">
        <f t="shared" si="32"/>
        <v>10</v>
      </c>
      <c r="Y419" s="101">
        <f t="shared" si="32"/>
        <v>0</v>
      </c>
      <c r="Z419" s="101">
        <f t="shared" si="32"/>
        <v>0</v>
      </c>
      <c r="AA419" s="101">
        <f t="shared" si="32"/>
        <v>6</v>
      </c>
      <c r="AB419" s="101">
        <f t="shared" si="32"/>
        <v>4</v>
      </c>
      <c r="AC419" s="101">
        <f t="shared" si="32"/>
        <v>2</v>
      </c>
      <c r="AD419" s="193">
        <f t="shared" si="32"/>
        <v>0</v>
      </c>
      <c r="AE419" s="53">
        <v>417</v>
      </c>
      <c r="AF419" s="198"/>
    </row>
    <row r="420" spans="1:32" s="52" customFormat="1" ht="15">
      <c r="A420" s="4" t="s">
        <v>928</v>
      </c>
      <c r="B420" s="4" t="s">
        <v>929</v>
      </c>
      <c r="C420" s="40" t="s">
        <v>649</v>
      </c>
      <c r="D420" s="172" t="s">
        <v>930</v>
      </c>
      <c r="E420" s="4" t="s">
        <v>57</v>
      </c>
      <c r="F420" s="4">
        <v>1</v>
      </c>
      <c r="G420" s="4">
        <v>1</v>
      </c>
      <c r="H420" s="4" t="s">
        <v>931</v>
      </c>
      <c r="I420" s="4" t="s">
        <v>928</v>
      </c>
      <c r="J420" s="172"/>
      <c r="K420" s="4"/>
      <c r="L420" s="4"/>
      <c r="M420" s="5">
        <v>1</v>
      </c>
      <c r="N420" s="5">
        <v>2</v>
      </c>
      <c r="O420" s="5"/>
      <c r="P420" s="5">
        <v>0</v>
      </c>
      <c r="Q420" s="5">
        <v>2</v>
      </c>
      <c r="R420" s="5">
        <v>0</v>
      </c>
      <c r="S420" s="5">
        <v>0</v>
      </c>
      <c r="T420" s="5">
        <v>1</v>
      </c>
      <c r="U420" s="5">
        <v>2</v>
      </c>
      <c r="V420" s="5">
        <v>0</v>
      </c>
      <c r="W420" s="5">
        <v>0</v>
      </c>
      <c r="X420" s="5">
        <v>3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6">
        <v>0</v>
      </c>
      <c r="AE420" s="53">
        <v>418</v>
      </c>
      <c r="AF420" s="146"/>
    </row>
    <row r="421" spans="1:32" s="52" customFormat="1" ht="15">
      <c r="A421" s="4" t="s">
        <v>932</v>
      </c>
      <c r="B421" s="4" t="s">
        <v>933</v>
      </c>
      <c r="C421" s="40" t="s">
        <v>649</v>
      </c>
      <c r="D421" s="172" t="s">
        <v>930</v>
      </c>
      <c r="E421" s="4" t="s">
        <v>57</v>
      </c>
      <c r="F421" s="4">
        <v>1</v>
      </c>
      <c r="G421" s="4">
        <v>1</v>
      </c>
      <c r="H421" s="4" t="s">
        <v>931</v>
      </c>
      <c r="I421" s="4" t="s">
        <v>934</v>
      </c>
      <c r="J421" s="172"/>
      <c r="K421" s="4"/>
      <c r="L421" s="4"/>
      <c r="M421" s="5">
        <v>1</v>
      </c>
      <c r="N421" s="5">
        <v>2</v>
      </c>
      <c r="O421" s="5"/>
      <c r="P421" s="5">
        <v>1</v>
      </c>
      <c r="Q421" s="5">
        <v>1</v>
      </c>
      <c r="R421" s="5">
        <v>0</v>
      </c>
      <c r="S421" s="5">
        <v>0</v>
      </c>
      <c r="T421" s="5">
        <v>1</v>
      </c>
      <c r="U421" s="5">
        <v>0</v>
      </c>
      <c r="V421" s="5">
        <v>0</v>
      </c>
      <c r="W421" s="5">
        <v>0</v>
      </c>
      <c r="X421" s="5">
        <v>4</v>
      </c>
      <c r="Y421" s="5">
        <v>0</v>
      </c>
      <c r="Z421" s="5">
        <v>0</v>
      </c>
      <c r="AA421" s="5">
        <v>5</v>
      </c>
      <c r="AB421" s="5">
        <v>2</v>
      </c>
      <c r="AC421" s="5">
        <v>1</v>
      </c>
      <c r="AD421" s="56">
        <v>0</v>
      </c>
      <c r="AE421" s="53">
        <v>419</v>
      </c>
      <c r="AF421" s="146"/>
    </row>
    <row r="422" spans="1:32" s="52" customFormat="1" ht="15">
      <c r="A422" s="4" t="s">
        <v>935</v>
      </c>
      <c r="B422" s="4" t="s">
        <v>936</v>
      </c>
      <c r="C422" s="40" t="s">
        <v>649</v>
      </c>
      <c r="D422" s="172" t="s">
        <v>930</v>
      </c>
      <c r="E422" s="4" t="s">
        <v>57</v>
      </c>
      <c r="F422" s="4">
        <v>1</v>
      </c>
      <c r="G422" s="4">
        <v>1</v>
      </c>
      <c r="H422" s="4" t="s">
        <v>931</v>
      </c>
      <c r="I422" s="4" t="s">
        <v>935</v>
      </c>
      <c r="J422" s="172"/>
      <c r="K422" s="4"/>
      <c r="L422" s="4"/>
      <c r="M422" s="5">
        <v>1</v>
      </c>
      <c r="N422" s="5">
        <v>1</v>
      </c>
      <c r="O422" s="5"/>
      <c r="P422" s="5">
        <v>1</v>
      </c>
      <c r="Q422" s="5">
        <v>0</v>
      </c>
      <c r="R422" s="5">
        <v>1</v>
      </c>
      <c r="S422" s="5">
        <v>0</v>
      </c>
      <c r="T422" s="5">
        <v>1</v>
      </c>
      <c r="U422" s="5">
        <v>1</v>
      </c>
      <c r="V422" s="5">
        <v>0</v>
      </c>
      <c r="W422" s="5">
        <v>0</v>
      </c>
      <c r="X422" s="5">
        <v>3</v>
      </c>
      <c r="Y422" s="5">
        <v>0</v>
      </c>
      <c r="Z422" s="5">
        <v>0</v>
      </c>
      <c r="AA422" s="5">
        <v>1</v>
      </c>
      <c r="AB422" s="5">
        <v>2</v>
      </c>
      <c r="AC422" s="5">
        <v>1</v>
      </c>
      <c r="AD422" s="56">
        <v>0</v>
      </c>
      <c r="AE422" s="20">
        <v>420</v>
      </c>
      <c r="AF422" s="146"/>
    </row>
    <row r="423" spans="1:32" s="50" customFormat="1" ht="15.75" customHeight="1">
      <c r="A423" s="92" t="s">
        <v>937</v>
      </c>
      <c r="B423" s="95"/>
      <c r="C423" s="97"/>
      <c r="D423" s="98"/>
      <c r="E423" s="95"/>
      <c r="F423" s="95"/>
      <c r="G423" s="95"/>
      <c r="H423" s="95"/>
      <c r="I423" s="99"/>
      <c r="J423" s="98"/>
      <c r="K423" s="95"/>
      <c r="L423" s="95"/>
      <c r="M423" s="100">
        <f t="shared" ref="M423:AD423" si="33">SUM(M424)</f>
        <v>1</v>
      </c>
      <c r="N423" s="100">
        <f t="shared" si="33"/>
        <v>1</v>
      </c>
      <c r="O423" s="100">
        <f t="shared" si="33"/>
        <v>4</v>
      </c>
      <c r="P423" s="100">
        <f t="shared" si="33"/>
        <v>1</v>
      </c>
      <c r="Q423" s="100">
        <f t="shared" si="33"/>
        <v>0</v>
      </c>
      <c r="R423" s="100">
        <f t="shared" si="33"/>
        <v>0</v>
      </c>
      <c r="S423" s="100">
        <f t="shared" si="33"/>
        <v>0</v>
      </c>
      <c r="T423" s="100">
        <f t="shared" si="33"/>
        <v>0</v>
      </c>
      <c r="U423" s="100">
        <f t="shared" si="33"/>
        <v>0</v>
      </c>
      <c r="V423" s="100">
        <f t="shared" si="33"/>
        <v>0</v>
      </c>
      <c r="W423" s="100">
        <f t="shared" si="33"/>
        <v>0</v>
      </c>
      <c r="X423" s="100">
        <f t="shared" si="33"/>
        <v>5</v>
      </c>
      <c r="Y423" s="100">
        <f t="shared" si="33"/>
        <v>0</v>
      </c>
      <c r="Z423" s="100">
        <f t="shared" si="33"/>
        <v>0</v>
      </c>
      <c r="AA423" s="100">
        <f t="shared" si="33"/>
        <v>8</v>
      </c>
      <c r="AB423" s="100">
        <f t="shared" si="33"/>
        <v>2</v>
      </c>
      <c r="AC423" s="100">
        <f t="shared" si="33"/>
        <v>1</v>
      </c>
      <c r="AD423" s="102">
        <f t="shared" si="33"/>
        <v>0</v>
      </c>
      <c r="AE423" s="20">
        <v>421</v>
      </c>
      <c r="AF423" s="147"/>
    </row>
    <row r="424" spans="1:32" ht="30">
      <c r="A424" s="152" t="s">
        <v>938</v>
      </c>
      <c r="B424" s="161" t="s">
        <v>939</v>
      </c>
      <c r="C424" s="38" t="s">
        <v>41</v>
      </c>
      <c r="D424" s="170" t="s">
        <v>940</v>
      </c>
      <c r="E424" s="161" t="s">
        <v>43</v>
      </c>
      <c r="F424" s="161">
        <v>2</v>
      </c>
      <c r="G424" s="161">
        <v>1</v>
      </c>
      <c r="H424" s="161" t="s">
        <v>187</v>
      </c>
      <c r="I424" s="176" t="s">
        <v>941</v>
      </c>
      <c r="J424" s="178"/>
      <c r="K424" s="161"/>
      <c r="L424" s="161"/>
      <c r="M424" s="181">
        <v>1</v>
      </c>
      <c r="N424" s="185">
        <v>1</v>
      </c>
      <c r="O424" s="185">
        <v>4</v>
      </c>
      <c r="P424" s="185">
        <v>1</v>
      </c>
      <c r="Q424" s="185">
        <v>0</v>
      </c>
      <c r="R424" s="185">
        <v>0</v>
      </c>
      <c r="S424" s="185">
        <v>0</v>
      </c>
      <c r="T424" s="185">
        <v>0</v>
      </c>
      <c r="U424" s="185">
        <v>0</v>
      </c>
      <c r="V424" s="185">
        <v>0</v>
      </c>
      <c r="W424" s="185">
        <v>0</v>
      </c>
      <c r="X424" s="185">
        <v>5</v>
      </c>
      <c r="Y424" s="185">
        <v>0</v>
      </c>
      <c r="Z424" s="185">
        <v>0</v>
      </c>
      <c r="AA424" s="185">
        <v>8</v>
      </c>
      <c r="AB424" s="185">
        <v>2</v>
      </c>
      <c r="AC424" s="185">
        <v>1</v>
      </c>
      <c r="AD424" s="194">
        <v>0</v>
      </c>
      <c r="AE424" s="53">
        <v>422</v>
      </c>
      <c r="AF424" s="142"/>
    </row>
    <row r="425" spans="1:32" ht="15">
      <c r="A425" s="48"/>
      <c r="B425" s="9"/>
      <c r="C425" s="43"/>
      <c r="D425" s="36"/>
      <c r="E425" s="9"/>
      <c r="F425" s="9"/>
      <c r="G425" s="9"/>
      <c r="H425" s="9"/>
      <c r="I425" s="27"/>
      <c r="J425" s="36"/>
      <c r="K425" s="27"/>
      <c r="L425" s="27"/>
      <c r="M425" s="17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18"/>
      <c r="AE425" s="53">
        <v>423</v>
      </c>
      <c r="AF425" s="142"/>
    </row>
    <row r="426" spans="1:32" ht="15">
      <c r="A426" s="107" t="s">
        <v>942</v>
      </c>
      <c r="B426" s="109"/>
      <c r="C426" s="113"/>
      <c r="D426" s="115"/>
      <c r="E426" s="109"/>
      <c r="F426" s="109"/>
      <c r="G426" s="109"/>
      <c r="H426" s="109"/>
      <c r="I426" s="119"/>
      <c r="J426" s="115"/>
      <c r="K426" s="119"/>
      <c r="L426" s="119"/>
      <c r="M426" s="122" t="e">
        <f>SUM(M424:M424)-#REF!-#REF!-#REF!-#REF!-#REF!-#REF!-#REF!-#REF!-#REF!-#REF!-#REF!-#REF!-#REF!-#REF!-#REF!-#REF!</f>
        <v>#REF!</v>
      </c>
      <c r="N426" s="122" t="e">
        <f>SUM(N424:N424)-#REF!-#REF!-#REF!-#REF!-#REF!-#REF!-#REF!-#REF!-#REF!-#REF!-#REF!-#REF!-#REF!-#REF!-#REF!-#REF!</f>
        <v>#REF!</v>
      </c>
      <c r="O426" s="122" t="e">
        <f>SUM(O424:O424)-#REF!-#REF!-#REF!-#REF!-#REF!-#REF!-#REF!-#REF!-#REF!-#REF!-#REF!-#REF!-#REF!-#REF!-#REF!-#REF!</f>
        <v>#REF!</v>
      </c>
      <c r="P426" s="122" t="e">
        <f>SUM(P424:P424)-#REF!-#REF!-#REF!-#REF!-#REF!-#REF!-#REF!-#REF!-#REF!-#REF!-#REF!-#REF!-#REF!-#REF!-#REF!-#REF!</f>
        <v>#REF!</v>
      </c>
      <c r="Q426" s="122" t="e">
        <f>SUM(Q424:Q424)-#REF!-#REF!-#REF!-#REF!-#REF!-#REF!-#REF!-#REF!-#REF!-#REF!-#REF!-#REF!-#REF!-#REF!-#REF!-#REF!</f>
        <v>#REF!</v>
      </c>
      <c r="R426" s="122" t="e">
        <f>SUM(R424:R424)-#REF!-#REF!-#REF!-#REF!-#REF!-#REF!-#REF!-#REF!-#REF!-#REF!-#REF!-#REF!-#REF!-#REF!-#REF!-#REF!</f>
        <v>#REF!</v>
      </c>
      <c r="S426" s="122" t="e">
        <f>SUM(S424:S424)-#REF!-#REF!-#REF!-#REF!-#REF!-#REF!-#REF!-#REF!-#REF!-#REF!-#REF!-#REF!-#REF!-#REF!-#REF!-#REF!</f>
        <v>#REF!</v>
      </c>
      <c r="T426" s="122" t="e">
        <f>SUM(T424:T424)-#REF!-#REF!-#REF!-#REF!-#REF!-#REF!-#REF!-#REF!-#REF!-#REF!-#REF!-#REF!-#REF!-#REF!-#REF!-#REF!</f>
        <v>#REF!</v>
      </c>
      <c r="U426" s="122" t="e">
        <f>SUM(U424:U424)-#REF!-#REF!-#REF!-#REF!-#REF!-#REF!-#REF!-#REF!-#REF!-#REF!-#REF!-#REF!-#REF!-#REF!-#REF!-#REF!</f>
        <v>#REF!</v>
      </c>
      <c r="V426" s="122" t="e">
        <f>SUM(V424:V424)-#REF!-#REF!-#REF!-#REF!-#REF!-#REF!-#REF!-#REF!-#REF!-#REF!-#REF!-#REF!-#REF!-#REF!-#REF!-#REF!</f>
        <v>#REF!</v>
      </c>
      <c r="W426" s="122" t="e">
        <f>SUM(W424:W424)-#REF!-#REF!-#REF!-#REF!-#REF!-#REF!-#REF!-#REF!-#REF!-#REF!-#REF!-#REF!-#REF!-#REF!-#REF!-#REF!</f>
        <v>#REF!</v>
      </c>
      <c r="X426" s="122" t="e">
        <f>SUM(X424:X424)-#REF!-#REF!-#REF!-#REF!-#REF!-#REF!-#REF!-#REF!-#REF!-#REF!-#REF!-#REF!-#REF!-#REF!-#REF!-#REF!</f>
        <v>#REF!</v>
      </c>
      <c r="Y426" s="122" t="e">
        <f>SUM(Y424:Y424)-#REF!-#REF!-#REF!-#REF!-#REF!-#REF!-#REF!-#REF!-#REF!-#REF!-#REF!-#REF!-#REF!-#REF!-#REF!-#REF!</f>
        <v>#REF!</v>
      </c>
      <c r="Z426" s="122" t="e">
        <f>SUM(Z424:Z424)-#REF!-#REF!-#REF!-#REF!-#REF!-#REF!-#REF!-#REF!-#REF!-#REF!-#REF!-#REF!-#REF!-#REF!-#REF!-#REF!</f>
        <v>#REF!</v>
      </c>
      <c r="AA426" s="122" t="e">
        <f>SUM(AA424:AA424)-#REF!-#REF!-#REF!-#REF!-#REF!-#REF!-#REF!-#REF!-#REF!-#REF!-#REF!-#REF!-#REF!-#REF!-#REF!-#REF!</f>
        <v>#REF!</v>
      </c>
      <c r="AB426" s="122" t="e">
        <f>SUM(AB424:AB424)-#REF!-#REF!-#REF!-#REF!-#REF!-#REF!-#REF!-#REF!-#REF!-#REF!-#REF!-#REF!-#REF!-#REF!-#REF!-#REF!</f>
        <v>#REF!</v>
      </c>
      <c r="AC426" s="122" t="e">
        <f>SUM(AC424:AC424)-#REF!-#REF!-#REF!-#REF!-#REF!-#REF!-#REF!-#REF!-#REF!-#REF!-#REF!-#REF!-#REF!-#REF!-#REF!-#REF!</f>
        <v>#REF!</v>
      </c>
      <c r="AD426" s="122" t="e">
        <f>SUM(AD424:AD424)-#REF!-#REF!-#REF!-#REF!-#REF!-#REF!-#REF!-#REF!-#REF!-#REF!-#REF!-#REF!-#REF!-#REF!-#REF!-#REF!</f>
        <v>#REF!</v>
      </c>
      <c r="AE426" s="53">
        <v>424</v>
      </c>
      <c r="AF426" s="142"/>
    </row>
    <row r="427" spans="1:32" ht="15">
      <c r="A427" s="108" t="s">
        <v>32</v>
      </c>
      <c r="B427" s="111"/>
      <c r="C427" s="114"/>
      <c r="D427" s="117"/>
      <c r="E427" s="118"/>
      <c r="F427" s="118"/>
      <c r="G427" s="118"/>
      <c r="H427" s="118"/>
      <c r="I427" s="120"/>
      <c r="J427" s="117"/>
      <c r="K427" s="120"/>
      <c r="L427" s="120"/>
      <c r="M427" s="118"/>
      <c r="N427" s="118" t="s">
        <v>34</v>
      </c>
      <c r="O427" s="118"/>
      <c r="P427" s="118" t="s">
        <v>34</v>
      </c>
      <c r="Q427" s="118"/>
      <c r="R427" s="118" t="s">
        <v>34</v>
      </c>
      <c r="S427" s="123" t="s">
        <v>34</v>
      </c>
      <c r="T427" s="123" t="s">
        <v>35</v>
      </c>
      <c r="U427" s="123" t="s">
        <v>35</v>
      </c>
      <c r="V427" s="118" t="s">
        <v>36</v>
      </c>
      <c r="W427" s="118" t="s">
        <v>36</v>
      </c>
      <c r="X427" s="118" t="s">
        <v>35</v>
      </c>
      <c r="Y427" s="118" t="s">
        <v>35</v>
      </c>
      <c r="Z427" s="118" t="s">
        <v>35</v>
      </c>
      <c r="AA427" s="118" t="s">
        <v>37</v>
      </c>
      <c r="AB427" s="118" t="s">
        <v>36</v>
      </c>
      <c r="AC427" s="118" t="s">
        <v>37</v>
      </c>
      <c r="AD427" s="118" t="s">
        <v>37</v>
      </c>
      <c r="AE427" s="20">
        <v>425</v>
      </c>
    </row>
    <row r="428" spans="1:32" ht="15">
      <c r="E428" s="37"/>
      <c r="I428" s="28"/>
      <c r="K428" s="28"/>
      <c r="L428" s="28"/>
      <c r="AE428" s="20">
        <v>426</v>
      </c>
    </row>
    <row r="429" spans="1:32" ht="15">
      <c r="AE429" s="53">
        <v>427</v>
      </c>
    </row>
    <row r="430" spans="1:32" ht="15">
      <c r="AE430" s="53">
        <v>428</v>
      </c>
    </row>
    <row r="431" spans="1:32" ht="15">
      <c r="AE431" s="53">
        <v>429</v>
      </c>
    </row>
    <row r="432" spans="1:32" ht="15">
      <c r="AE432" s="20">
        <v>430</v>
      </c>
    </row>
    <row r="433" spans="13:31" ht="15">
      <c r="AE433" s="20">
        <v>431</v>
      </c>
    </row>
    <row r="434" spans="13:31" ht="15">
      <c r="AE434" s="53">
        <v>432</v>
      </c>
    </row>
    <row r="435" spans="13:31" ht="15">
      <c r="AE435" s="53">
        <v>433</v>
      </c>
    </row>
    <row r="436" spans="13:31" ht="15">
      <c r="AE436" s="53">
        <v>434</v>
      </c>
    </row>
    <row r="437" spans="13:31" ht="15">
      <c r="AE437" s="20">
        <v>435</v>
      </c>
    </row>
    <row r="438" spans="13:31" ht="15">
      <c r="AE438" s="20">
        <v>436</v>
      </c>
    </row>
    <row r="439" spans="13:31" ht="15">
      <c r="AE439" s="53">
        <v>437</v>
      </c>
    </row>
    <row r="440" spans="13:31" ht="15">
      <c r="AE440" s="53">
        <v>438</v>
      </c>
    </row>
    <row r="441" spans="13:31" ht="15">
      <c r="AE441" s="53">
        <v>439</v>
      </c>
    </row>
    <row r="442" spans="13:31" ht="15">
      <c r="AE442" s="20">
        <v>440</v>
      </c>
    </row>
    <row r="443" spans="13:31" ht="15">
      <c r="AE443" s="20">
        <v>441</v>
      </c>
    </row>
    <row r="444" spans="13:31" ht="12.75">
      <c r="M444" s="1">
        <f>SUBTOTAL(9,M5:M424)</f>
        <v>803</v>
      </c>
      <c r="N444" s="1">
        <f t="shared" ref="N444:Z444" si="34">SUBTOTAL(9,N5:N424)</f>
        <v>979</v>
      </c>
      <c r="O444" s="1">
        <f t="shared" si="34"/>
        <v>8</v>
      </c>
      <c r="P444" s="1">
        <f t="shared" si="34"/>
        <v>254</v>
      </c>
      <c r="Q444" s="1">
        <f t="shared" si="34"/>
        <v>725</v>
      </c>
      <c r="R444" s="1">
        <f t="shared" si="34"/>
        <v>364</v>
      </c>
      <c r="S444" s="1">
        <f t="shared" si="34"/>
        <v>64</v>
      </c>
      <c r="T444" s="1">
        <f t="shared" si="34"/>
        <v>226</v>
      </c>
      <c r="U444" s="1">
        <f t="shared" si="34"/>
        <v>226</v>
      </c>
      <c r="V444" s="1">
        <f t="shared" si="34"/>
        <v>48</v>
      </c>
      <c r="W444" s="201">
        <f>D451</f>
        <v>0</v>
      </c>
      <c r="X444" s="1">
        <f t="shared" si="34"/>
        <v>1376</v>
      </c>
      <c r="Y444" s="1">
        <f t="shared" si="34"/>
        <v>264</v>
      </c>
      <c r="Z444" s="1">
        <f t="shared" si="34"/>
        <v>458</v>
      </c>
    </row>
    <row r="445" spans="13:31" ht="12.75"/>
    <row r="446" spans="13:31" ht="12.75"/>
    <row r="447" spans="13:31" ht="12.75"/>
    <row r="448" spans="13:31" ht="12.75"/>
    <row r="449" spans="14:24" ht="12.75"/>
    <row r="450" spans="14:24" ht="12.75"/>
    <row r="451" spans="14:24" ht="12.75"/>
    <row r="452" spans="14:24" ht="12.75"/>
    <row r="453" spans="14:24" ht="12.75"/>
    <row r="454" spans="14:24" ht="12.75">
      <c r="X454" s="3">
        <f>SUM(X4,X56,X224,X241,X243,X276,X285,X288,X313,X315,X327,X384,X389,X6)</f>
        <v>673</v>
      </c>
    </row>
    <row r="455" spans="14:24" ht="12.75"/>
    <row r="456" spans="14:24" ht="12.75">
      <c r="N456" s="3" t="e">
        <f>N426-Q426</f>
        <v>#REF!</v>
      </c>
      <c r="O456" s="3"/>
    </row>
    <row r="457" spans="14:24" ht="12.75"/>
    <row r="458" spans="14:24" ht="12.75"/>
  </sheetData>
  <autoFilter ref="A2:AJ443" xr:uid="{00000000-0001-0000-0000-000000000000}">
    <sortState xmlns:xlrd2="http://schemas.microsoft.com/office/spreadsheetml/2017/richdata2" ref="A3:AJ443">
      <sortCondition ref="AE2:AE443"/>
    </sortState>
  </autoFilter>
  <phoneticPr fontId="9" type="noConversion"/>
  <pageMargins left="0.7" right="0.7" top="0.75" bottom="0.75" header="0.3" footer="0.3"/>
  <pageSetup scale="26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6D71B-E3F0-46C1-B6EB-568F82434B64}">
  <dimension ref="A1:AM30"/>
  <sheetViews>
    <sheetView tabSelected="1" topLeftCell="B1" zoomScaleNormal="100" workbookViewId="0">
      <selection activeCell="AB23" sqref="AB23"/>
    </sheetView>
  </sheetViews>
  <sheetFormatPr defaultRowHeight="12.75"/>
  <cols>
    <col min="1" max="1" width="17.6640625" bestFit="1" customWidth="1"/>
    <col min="2" max="2" width="12.33203125" customWidth="1"/>
    <col min="17" max="17" width="12.6640625" customWidth="1"/>
    <col min="30" max="30" width="11.33203125" customWidth="1"/>
    <col min="33" max="33" width="21" bestFit="1" customWidth="1"/>
    <col min="34" max="35" width="11.33203125" bestFit="1" customWidth="1"/>
    <col min="36" max="36" width="14" bestFit="1" customWidth="1"/>
  </cols>
  <sheetData>
    <row r="1" spans="1:39" ht="60">
      <c r="A1" s="59" t="s">
        <v>943</v>
      </c>
      <c r="B1" s="59" t="s">
        <v>944</v>
      </c>
      <c r="C1" s="222" t="s">
        <v>945</v>
      </c>
      <c r="D1" s="222"/>
      <c r="E1" s="222"/>
      <c r="F1" s="222" t="s">
        <v>9</v>
      </c>
      <c r="G1" s="222"/>
      <c r="H1" s="222" t="s">
        <v>946</v>
      </c>
      <c r="I1" s="222"/>
      <c r="J1" s="60" t="s">
        <v>947</v>
      </c>
      <c r="K1" s="222" t="s">
        <v>948</v>
      </c>
      <c r="L1" s="222"/>
      <c r="M1" s="222" t="s">
        <v>949</v>
      </c>
      <c r="N1" s="222"/>
      <c r="O1" s="222"/>
      <c r="P1" s="222" t="s">
        <v>950</v>
      </c>
      <c r="Q1" s="222"/>
      <c r="R1" s="221" t="s">
        <v>951</v>
      </c>
      <c r="S1" s="221"/>
      <c r="T1" s="221"/>
      <c r="U1" s="222" t="s">
        <v>952</v>
      </c>
      <c r="V1" s="222"/>
      <c r="W1" s="61" t="s">
        <v>953</v>
      </c>
      <c r="X1" s="61" t="s">
        <v>954</v>
      </c>
      <c r="Y1" s="222" t="s">
        <v>955</v>
      </c>
      <c r="Z1" s="222"/>
      <c r="AA1" s="222"/>
      <c r="AB1" s="222" t="s">
        <v>956</v>
      </c>
      <c r="AC1" s="222"/>
      <c r="AD1" s="60" t="s">
        <v>957</v>
      </c>
      <c r="AE1" s="222" t="s">
        <v>958</v>
      </c>
      <c r="AF1" s="222"/>
      <c r="AG1" s="60" t="s">
        <v>959</v>
      </c>
      <c r="AH1" s="60" t="s">
        <v>26</v>
      </c>
      <c r="AI1" s="62" t="s">
        <v>960</v>
      </c>
      <c r="AJ1" s="60" t="s">
        <v>961</v>
      </c>
      <c r="AK1" s="60" t="s">
        <v>29</v>
      </c>
      <c r="AL1" s="63" t="s">
        <v>962</v>
      </c>
      <c r="AM1" s="64" t="s">
        <v>31</v>
      </c>
    </row>
    <row r="2" spans="1:39" ht="15">
      <c r="A2" s="65"/>
      <c r="B2" s="66"/>
      <c r="C2" s="217" t="s">
        <v>32</v>
      </c>
      <c r="D2" s="217"/>
      <c r="E2" s="217"/>
      <c r="F2" s="67"/>
      <c r="G2" s="67"/>
      <c r="H2" s="217"/>
      <c r="I2" s="217"/>
      <c r="J2" s="67"/>
      <c r="K2" s="217" t="s">
        <v>33</v>
      </c>
      <c r="L2" s="217"/>
      <c r="M2" s="217" t="s">
        <v>33</v>
      </c>
      <c r="N2" s="217"/>
      <c r="O2" s="217"/>
      <c r="P2" s="217" t="s">
        <v>33</v>
      </c>
      <c r="Q2" s="217"/>
      <c r="R2" s="220" t="s">
        <v>34</v>
      </c>
      <c r="S2" s="220"/>
      <c r="T2" s="220"/>
      <c r="U2" s="217"/>
      <c r="V2" s="217"/>
      <c r="W2" s="68" t="s">
        <v>35</v>
      </c>
      <c r="X2" s="68" t="s">
        <v>35</v>
      </c>
      <c r="Y2" s="217" t="s">
        <v>36</v>
      </c>
      <c r="Z2" s="217"/>
      <c r="AA2" s="217"/>
      <c r="AB2" s="217" t="s">
        <v>36</v>
      </c>
      <c r="AC2" s="217"/>
      <c r="AD2" s="69" t="s">
        <v>35</v>
      </c>
      <c r="AE2" s="217" t="s">
        <v>35</v>
      </c>
      <c r="AF2" s="217"/>
      <c r="AG2" s="69" t="s">
        <v>35</v>
      </c>
      <c r="AH2" s="69" t="s">
        <v>37</v>
      </c>
      <c r="AI2" s="69" t="s">
        <v>36</v>
      </c>
      <c r="AJ2" s="69" t="s">
        <v>37</v>
      </c>
      <c r="AK2" s="69" t="s">
        <v>37</v>
      </c>
      <c r="AL2" s="70"/>
      <c r="AM2" s="71"/>
    </row>
    <row r="3" spans="1:39" ht="15">
      <c r="A3" s="72" t="s">
        <v>963</v>
      </c>
      <c r="B3" s="73" t="s">
        <v>964</v>
      </c>
      <c r="C3" s="214" t="s">
        <v>38</v>
      </c>
      <c r="D3" s="214"/>
      <c r="E3" s="214"/>
      <c r="F3" s="214" t="s">
        <v>965</v>
      </c>
      <c r="G3" s="214"/>
      <c r="H3" s="215">
        <v>1</v>
      </c>
      <c r="I3" s="215"/>
      <c r="J3" s="74" t="s">
        <v>41</v>
      </c>
      <c r="K3" s="213">
        <v>1</v>
      </c>
      <c r="L3" s="213"/>
      <c r="M3" s="213">
        <v>0</v>
      </c>
      <c r="N3" s="213"/>
      <c r="O3" s="213"/>
      <c r="P3" s="213">
        <v>0</v>
      </c>
      <c r="Q3" s="213"/>
      <c r="R3" s="213">
        <v>0</v>
      </c>
      <c r="S3" s="213"/>
      <c r="T3" s="213"/>
      <c r="U3" s="213">
        <v>0</v>
      </c>
      <c r="V3" s="213"/>
      <c r="W3" s="75">
        <v>0</v>
      </c>
      <c r="X3" s="75">
        <v>0</v>
      </c>
      <c r="Y3" s="213">
        <v>0</v>
      </c>
      <c r="Z3" s="213"/>
      <c r="AA3" s="213"/>
      <c r="AB3" s="213">
        <v>0</v>
      </c>
      <c r="AC3" s="213"/>
      <c r="AD3" s="75">
        <v>0</v>
      </c>
      <c r="AE3" s="213">
        <v>0</v>
      </c>
      <c r="AF3" s="213"/>
      <c r="AG3" s="75">
        <v>0</v>
      </c>
      <c r="AH3" s="75">
        <v>5</v>
      </c>
      <c r="AI3" s="75">
        <v>0</v>
      </c>
      <c r="AJ3" s="75">
        <v>0</v>
      </c>
      <c r="AK3" s="75">
        <v>0</v>
      </c>
      <c r="AL3" s="76"/>
      <c r="AM3" s="77"/>
    </row>
    <row r="4" spans="1:39" ht="15">
      <c r="A4" s="72" t="s">
        <v>966</v>
      </c>
      <c r="B4" s="73" t="s">
        <v>964</v>
      </c>
      <c r="C4" s="214" t="s">
        <v>967</v>
      </c>
      <c r="D4" s="214"/>
      <c r="E4" s="214"/>
      <c r="F4" s="214" t="s">
        <v>968</v>
      </c>
      <c r="G4" s="214"/>
      <c r="H4" s="215">
        <v>51</v>
      </c>
      <c r="I4" s="215"/>
      <c r="J4" s="78" t="s">
        <v>41</v>
      </c>
      <c r="K4" s="211">
        <v>79</v>
      </c>
      <c r="L4" s="211"/>
      <c r="M4" s="211">
        <v>0</v>
      </c>
      <c r="N4" s="211"/>
      <c r="O4" s="211"/>
      <c r="P4" s="218">
        <v>0</v>
      </c>
      <c r="Q4" s="218"/>
      <c r="R4" s="211">
        <v>0</v>
      </c>
      <c r="S4" s="211"/>
      <c r="T4" s="211"/>
      <c r="U4" s="211">
        <v>0</v>
      </c>
      <c r="V4" s="211"/>
      <c r="W4" s="79">
        <v>0</v>
      </c>
      <c r="X4" s="79">
        <v>0</v>
      </c>
      <c r="Y4" s="213">
        <v>0</v>
      </c>
      <c r="Z4" s="213"/>
      <c r="AA4" s="213"/>
      <c r="AB4" s="211">
        <v>0</v>
      </c>
      <c r="AC4" s="211"/>
      <c r="AD4" s="79">
        <v>81</v>
      </c>
      <c r="AE4" s="211">
        <v>0</v>
      </c>
      <c r="AF4" s="211"/>
      <c r="AG4" s="79">
        <v>0</v>
      </c>
      <c r="AH4" s="80">
        <v>0</v>
      </c>
      <c r="AI4" s="79">
        <v>0</v>
      </c>
      <c r="AJ4" s="79">
        <v>0</v>
      </c>
      <c r="AK4" s="79">
        <v>0</v>
      </c>
      <c r="AL4" s="76"/>
      <c r="AM4" s="81" t="s">
        <v>969</v>
      </c>
    </row>
    <row r="5" spans="1:39" ht="15">
      <c r="A5" s="72" t="s">
        <v>966</v>
      </c>
      <c r="B5" s="73" t="s">
        <v>964</v>
      </c>
      <c r="C5" s="214" t="s">
        <v>165</v>
      </c>
      <c r="D5" s="214"/>
      <c r="E5" s="214"/>
      <c r="F5" s="214" t="s">
        <v>970</v>
      </c>
      <c r="G5" s="214"/>
      <c r="H5" s="215">
        <v>165</v>
      </c>
      <c r="I5" s="215"/>
      <c r="J5" s="78" t="s">
        <v>41</v>
      </c>
      <c r="K5" s="211">
        <v>215</v>
      </c>
      <c r="L5" s="211"/>
      <c r="M5" s="213">
        <v>0</v>
      </c>
      <c r="N5" s="213"/>
      <c r="O5" s="213"/>
      <c r="P5" s="219">
        <v>0</v>
      </c>
      <c r="Q5" s="219"/>
      <c r="R5" s="211">
        <v>0</v>
      </c>
      <c r="S5" s="211"/>
      <c r="T5" s="211"/>
      <c r="U5" s="211">
        <v>0</v>
      </c>
      <c r="V5" s="211"/>
      <c r="W5" s="79">
        <v>0</v>
      </c>
      <c r="X5" s="75">
        <v>0</v>
      </c>
      <c r="Y5" s="213">
        <v>0</v>
      </c>
      <c r="Z5" s="213"/>
      <c r="AA5" s="213"/>
      <c r="AB5" s="213">
        <v>0</v>
      </c>
      <c r="AC5" s="213"/>
      <c r="AD5" s="79">
        <v>206</v>
      </c>
      <c r="AE5" s="213">
        <v>0</v>
      </c>
      <c r="AF5" s="213"/>
      <c r="AG5" s="79">
        <v>0</v>
      </c>
      <c r="AH5" s="79">
        <v>224</v>
      </c>
      <c r="AI5" s="79">
        <v>5</v>
      </c>
      <c r="AJ5" s="79">
        <v>0</v>
      </c>
      <c r="AK5" s="79">
        <v>0</v>
      </c>
      <c r="AL5" s="76"/>
      <c r="AM5" s="81" t="s">
        <v>971</v>
      </c>
    </row>
    <row r="6" spans="1:39" ht="15">
      <c r="A6" s="72" t="s">
        <v>972</v>
      </c>
      <c r="B6" s="73" t="s">
        <v>964</v>
      </c>
      <c r="C6" s="214" t="s">
        <v>523</v>
      </c>
      <c r="D6" s="214"/>
      <c r="E6" s="214"/>
      <c r="F6" s="214" t="s">
        <v>973</v>
      </c>
      <c r="G6" s="214"/>
      <c r="H6" s="215">
        <v>16</v>
      </c>
      <c r="I6" s="215"/>
      <c r="J6" s="74" t="s">
        <v>41</v>
      </c>
      <c r="K6" s="213">
        <v>16</v>
      </c>
      <c r="L6" s="213"/>
      <c r="M6" s="213">
        <v>0</v>
      </c>
      <c r="N6" s="213"/>
      <c r="O6" s="213"/>
      <c r="P6" s="213">
        <v>0</v>
      </c>
      <c r="Q6" s="213"/>
      <c r="R6" s="219">
        <v>0</v>
      </c>
      <c r="S6" s="219"/>
      <c r="T6" s="219"/>
      <c r="U6" s="213">
        <v>0</v>
      </c>
      <c r="V6" s="213"/>
      <c r="W6" s="75">
        <v>0</v>
      </c>
      <c r="X6" s="75">
        <v>0</v>
      </c>
      <c r="Y6" s="213">
        <v>0</v>
      </c>
      <c r="Z6" s="213"/>
      <c r="AA6" s="213"/>
      <c r="AB6" s="213">
        <v>0</v>
      </c>
      <c r="AC6" s="213"/>
      <c r="AD6" s="75">
        <v>0</v>
      </c>
      <c r="AE6" s="213">
        <v>16</v>
      </c>
      <c r="AF6" s="213"/>
      <c r="AG6" s="75">
        <v>0</v>
      </c>
      <c r="AH6" s="75">
        <v>16</v>
      </c>
      <c r="AI6" s="75">
        <v>0</v>
      </c>
      <c r="AJ6" s="75">
        <v>0</v>
      </c>
      <c r="AK6" s="75">
        <v>0</v>
      </c>
      <c r="AL6" s="76"/>
      <c r="AM6" s="81" t="s">
        <v>974</v>
      </c>
    </row>
    <row r="7" spans="1:39" ht="15">
      <c r="A7" s="72" t="s">
        <v>966</v>
      </c>
      <c r="B7" s="73" t="s">
        <v>964</v>
      </c>
      <c r="C7" s="214" t="s">
        <v>975</v>
      </c>
      <c r="D7" s="214"/>
      <c r="E7" s="214"/>
      <c r="F7" s="214" t="s">
        <v>965</v>
      </c>
      <c r="G7" s="214"/>
      <c r="H7" s="215">
        <v>1</v>
      </c>
      <c r="I7" s="215"/>
      <c r="J7" s="78" t="s">
        <v>41</v>
      </c>
      <c r="K7" s="211">
        <v>1</v>
      </c>
      <c r="L7" s="211"/>
      <c r="M7" s="211">
        <v>0</v>
      </c>
      <c r="N7" s="211"/>
      <c r="O7" s="211"/>
      <c r="P7" s="211">
        <v>1</v>
      </c>
      <c r="Q7" s="211"/>
      <c r="R7" s="211">
        <v>0</v>
      </c>
      <c r="S7" s="211"/>
      <c r="T7" s="211"/>
      <c r="U7" s="211">
        <v>0</v>
      </c>
      <c r="V7" s="211"/>
      <c r="W7" s="79">
        <v>0</v>
      </c>
      <c r="X7" s="79">
        <v>0</v>
      </c>
      <c r="Y7" s="213">
        <v>0</v>
      </c>
      <c r="Z7" s="213"/>
      <c r="AA7" s="213"/>
      <c r="AB7" s="211">
        <v>0</v>
      </c>
      <c r="AC7" s="211"/>
      <c r="AD7" s="79">
        <v>1</v>
      </c>
      <c r="AE7" s="211">
        <v>0</v>
      </c>
      <c r="AF7" s="211"/>
      <c r="AG7" s="79">
        <v>0</v>
      </c>
      <c r="AH7" s="79">
        <v>6</v>
      </c>
      <c r="AI7" s="79">
        <v>0</v>
      </c>
      <c r="AJ7" s="79">
        <v>0</v>
      </c>
      <c r="AK7" s="79">
        <v>0</v>
      </c>
      <c r="AL7" s="76"/>
      <c r="AM7" s="77"/>
    </row>
    <row r="8" spans="1:39" ht="15">
      <c r="A8" s="72" t="s">
        <v>972</v>
      </c>
      <c r="B8" s="73" t="s">
        <v>964</v>
      </c>
      <c r="C8" s="214" t="s">
        <v>976</v>
      </c>
      <c r="D8" s="214"/>
      <c r="E8" s="214"/>
      <c r="F8" s="214" t="s">
        <v>977</v>
      </c>
      <c r="G8" s="214"/>
      <c r="H8" s="215">
        <v>32</v>
      </c>
      <c r="I8" s="215"/>
      <c r="J8" s="78" t="s">
        <v>41</v>
      </c>
      <c r="K8" s="211">
        <v>32</v>
      </c>
      <c r="L8" s="211"/>
      <c r="M8" s="211">
        <v>0</v>
      </c>
      <c r="N8" s="211"/>
      <c r="O8" s="211"/>
      <c r="P8" s="211">
        <v>0</v>
      </c>
      <c r="Q8" s="211"/>
      <c r="R8" s="211">
        <v>32</v>
      </c>
      <c r="S8" s="211"/>
      <c r="T8" s="211"/>
      <c r="U8" s="211">
        <v>0</v>
      </c>
      <c r="V8" s="211"/>
      <c r="W8" s="79">
        <v>0</v>
      </c>
      <c r="X8" s="79">
        <v>0</v>
      </c>
      <c r="Y8" s="213">
        <v>0</v>
      </c>
      <c r="Z8" s="213"/>
      <c r="AA8" s="213"/>
      <c r="AB8" s="211">
        <v>0</v>
      </c>
      <c r="AC8" s="211"/>
      <c r="AD8" s="79">
        <v>0</v>
      </c>
      <c r="AE8" s="211">
        <v>116</v>
      </c>
      <c r="AF8" s="211"/>
      <c r="AG8" s="79">
        <v>0</v>
      </c>
      <c r="AH8" s="79">
        <v>116</v>
      </c>
      <c r="AI8" s="79">
        <v>0</v>
      </c>
      <c r="AJ8" s="79">
        <v>0</v>
      </c>
      <c r="AK8" s="79">
        <v>0</v>
      </c>
      <c r="AL8" s="76"/>
      <c r="AM8" s="77"/>
    </row>
    <row r="9" spans="1:39" ht="15">
      <c r="A9" s="81" t="s">
        <v>978</v>
      </c>
      <c r="B9" s="66" t="s">
        <v>964</v>
      </c>
      <c r="C9" s="217" t="s">
        <v>979</v>
      </c>
      <c r="D9" s="217"/>
      <c r="E9" s="217"/>
      <c r="F9" s="217" t="s">
        <v>980</v>
      </c>
      <c r="G9" s="217"/>
      <c r="H9" s="213">
        <v>8</v>
      </c>
      <c r="I9" s="213"/>
      <c r="J9" s="79" t="s">
        <v>41</v>
      </c>
      <c r="K9" s="211">
        <v>16</v>
      </c>
      <c r="L9" s="211"/>
      <c r="M9" s="213">
        <v>0</v>
      </c>
      <c r="N9" s="213"/>
      <c r="O9" s="213"/>
      <c r="P9" s="213">
        <v>0</v>
      </c>
      <c r="Q9" s="213"/>
      <c r="R9" s="211">
        <v>0</v>
      </c>
      <c r="S9" s="211"/>
      <c r="T9" s="211"/>
      <c r="U9" s="211">
        <v>0</v>
      </c>
      <c r="V9" s="211"/>
      <c r="W9" s="79">
        <v>0</v>
      </c>
      <c r="X9" s="79">
        <v>0</v>
      </c>
      <c r="Y9" s="213">
        <v>0</v>
      </c>
      <c r="Z9" s="213"/>
      <c r="AA9" s="213"/>
      <c r="AB9" s="213">
        <v>0</v>
      </c>
      <c r="AC9" s="213"/>
      <c r="AD9" s="79">
        <v>48</v>
      </c>
      <c r="AE9" s="213">
        <v>0</v>
      </c>
      <c r="AF9" s="213"/>
      <c r="AG9" s="79">
        <v>0</v>
      </c>
      <c r="AH9" s="79">
        <v>24</v>
      </c>
      <c r="AI9" s="79">
        <v>80</v>
      </c>
      <c r="AJ9" s="79">
        <v>8</v>
      </c>
      <c r="AK9" s="79">
        <v>0</v>
      </c>
      <c r="AL9" s="76"/>
      <c r="AM9" s="77"/>
    </row>
    <row r="10" spans="1:39" ht="15">
      <c r="A10" s="81" t="s">
        <v>981</v>
      </c>
      <c r="B10" s="66" t="s">
        <v>964</v>
      </c>
      <c r="C10" s="217" t="s">
        <v>646</v>
      </c>
      <c r="D10" s="217"/>
      <c r="E10" s="217"/>
      <c r="F10" s="217" t="s">
        <v>982</v>
      </c>
      <c r="G10" s="217"/>
      <c r="H10" s="213">
        <v>2</v>
      </c>
      <c r="I10" s="213"/>
      <c r="J10" s="79" t="s">
        <v>649</v>
      </c>
      <c r="K10" s="211">
        <v>2</v>
      </c>
      <c r="L10" s="211"/>
      <c r="M10" s="213">
        <v>2</v>
      </c>
      <c r="N10" s="213"/>
      <c r="O10" s="213"/>
      <c r="P10" s="213">
        <v>0</v>
      </c>
      <c r="Q10" s="213"/>
      <c r="R10" s="211">
        <v>0</v>
      </c>
      <c r="S10" s="211"/>
      <c r="T10" s="211"/>
      <c r="U10" s="211">
        <v>2</v>
      </c>
      <c r="V10" s="211"/>
      <c r="W10" s="79">
        <v>4</v>
      </c>
      <c r="X10" s="79">
        <v>2</v>
      </c>
      <c r="Y10" s="213">
        <v>0</v>
      </c>
      <c r="Z10" s="213"/>
      <c r="AA10" s="213"/>
      <c r="AB10" s="213">
        <v>0</v>
      </c>
      <c r="AC10" s="213"/>
      <c r="AD10" s="79">
        <v>0</v>
      </c>
      <c r="AE10" s="213">
        <v>0</v>
      </c>
      <c r="AF10" s="213"/>
      <c r="AG10" s="79">
        <v>4</v>
      </c>
      <c r="AH10" s="79">
        <v>2</v>
      </c>
      <c r="AI10" s="79">
        <v>0</v>
      </c>
      <c r="AJ10" s="79">
        <v>0</v>
      </c>
      <c r="AK10" s="79">
        <v>0</v>
      </c>
      <c r="AL10" s="76"/>
      <c r="AM10" s="77"/>
    </row>
    <row r="11" spans="1:39" ht="15">
      <c r="A11" s="72" t="s">
        <v>983</v>
      </c>
      <c r="B11" s="73" t="s">
        <v>964</v>
      </c>
      <c r="C11" s="214" t="s">
        <v>655</v>
      </c>
      <c r="D11" s="214"/>
      <c r="E11" s="214"/>
      <c r="F11" s="214" t="s">
        <v>984</v>
      </c>
      <c r="G11" s="214"/>
      <c r="H11" s="215">
        <v>23</v>
      </c>
      <c r="I11" s="215"/>
      <c r="J11" s="78" t="s">
        <v>41</v>
      </c>
      <c r="K11" s="211">
        <v>23</v>
      </c>
      <c r="L11" s="211"/>
      <c r="M11" s="213">
        <v>23</v>
      </c>
      <c r="N11" s="213"/>
      <c r="O11" s="213"/>
      <c r="P11" s="213">
        <v>23</v>
      </c>
      <c r="Q11" s="213"/>
      <c r="R11" s="211">
        <v>0</v>
      </c>
      <c r="S11" s="211"/>
      <c r="T11" s="211"/>
      <c r="U11" s="211">
        <v>23</v>
      </c>
      <c r="V11" s="211"/>
      <c r="W11" s="79">
        <v>0</v>
      </c>
      <c r="X11" s="79">
        <v>0</v>
      </c>
      <c r="Y11" s="213">
        <v>23</v>
      </c>
      <c r="Z11" s="213"/>
      <c r="AA11" s="213"/>
      <c r="AB11" s="213">
        <v>23</v>
      </c>
      <c r="AC11" s="213"/>
      <c r="AD11" s="80">
        <v>0</v>
      </c>
      <c r="AE11" s="213">
        <v>0</v>
      </c>
      <c r="AF11" s="213"/>
      <c r="AG11" s="79">
        <v>0</v>
      </c>
      <c r="AH11" s="79">
        <v>23</v>
      </c>
      <c r="AI11" s="79">
        <v>0</v>
      </c>
      <c r="AJ11" s="79">
        <v>0</v>
      </c>
      <c r="AK11" s="79">
        <v>0</v>
      </c>
      <c r="AL11" s="76"/>
      <c r="AM11" s="81" t="s">
        <v>985</v>
      </c>
    </row>
    <row r="12" spans="1:39" ht="15">
      <c r="A12" s="72" t="s">
        <v>986</v>
      </c>
      <c r="B12" s="73" t="s">
        <v>964</v>
      </c>
      <c r="C12" s="214" t="s">
        <v>705</v>
      </c>
      <c r="D12" s="214"/>
      <c r="E12" s="214"/>
      <c r="F12" s="214" t="s">
        <v>987</v>
      </c>
      <c r="G12" s="214"/>
      <c r="H12" s="215">
        <v>1</v>
      </c>
      <c r="I12" s="215"/>
      <c r="J12" s="74" t="s">
        <v>649</v>
      </c>
      <c r="K12" s="213">
        <v>1</v>
      </c>
      <c r="L12" s="213"/>
      <c r="M12" s="213">
        <v>1</v>
      </c>
      <c r="N12" s="213"/>
      <c r="O12" s="213"/>
      <c r="P12" s="213">
        <v>0</v>
      </c>
      <c r="Q12" s="213"/>
      <c r="R12" s="213">
        <v>0</v>
      </c>
      <c r="S12" s="213"/>
      <c r="T12" s="213"/>
      <c r="U12" s="213">
        <v>1</v>
      </c>
      <c r="V12" s="213"/>
      <c r="W12" s="75">
        <v>1</v>
      </c>
      <c r="X12" s="75">
        <v>1</v>
      </c>
      <c r="Y12" s="213">
        <v>0</v>
      </c>
      <c r="Z12" s="213"/>
      <c r="AA12" s="213"/>
      <c r="AB12" s="213">
        <v>0</v>
      </c>
      <c r="AC12" s="213"/>
      <c r="AD12" s="75">
        <v>1</v>
      </c>
      <c r="AE12" s="213">
        <v>0</v>
      </c>
      <c r="AF12" s="213"/>
      <c r="AG12" s="75">
        <v>1</v>
      </c>
      <c r="AH12" s="75">
        <v>1</v>
      </c>
      <c r="AI12" s="75">
        <v>0</v>
      </c>
      <c r="AJ12" s="75">
        <v>0</v>
      </c>
      <c r="AK12" s="75">
        <v>0</v>
      </c>
      <c r="AL12" s="76"/>
      <c r="AM12" s="81" t="s">
        <v>988</v>
      </c>
    </row>
    <row r="13" spans="1:39" ht="15">
      <c r="A13" s="72" t="s">
        <v>983</v>
      </c>
      <c r="B13" s="73" t="s">
        <v>964</v>
      </c>
      <c r="C13" s="214" t="s">
        <v>709</v>
      </c>
      <c r="D13" s="214"/>
      <c r="E13" s="214"/>
      <c r="F13" s="214" t="s">
        <v>989</v>
      </c>
      <c r="G13" s="214"/>
      <c r="H13" s="215">
        <v>10</v>
      </c>
      <c r="I13" s="215"/>
      <c r="J13" s="78" t="s">
        <v>649</v>
      </c>
      <c r="K13" s="211">
        <v>10</v>
      </c>
      <c r="L13" s="211"/>
      <c r="M13" s="211">
        <v>10</v>
      </c>
      <c r="N13" s="211"/>
      <c r="O13" s="211"/>
      <c r="P13" s="211">
        <v>26</v>
      </c>
      <c r="Q13" s="211"/>
      <c r="R13" s="211">
        <v>0</v>
      </c>
      <c r="S13" s="211"/>
      <c r="T13" s="211"/>
      <c r="U13" s="211">
        <v>10</v>
      </c>
      <c r="V13" s="211"/>
      <c r="W13" s="79">
        <v>10</v>
      </c>
      <c r="X13" s="79">
        <v>10</v>
      </c>
      <c r="Y13" s="213">
        <v>0</v>
      </c>
      <c r="Z13" s="213"/>
      <c r="AA13" s="213"/>
      <c r="AB13" s="211">
        <v>0</v>
      </c>
      <c r="AC13" s="211"/>
      <c r="AD13" s="79">
        <v>42</v>
      </c>
      <c r="AE13" s="211">
        <v>0</v>
      </c>
      <c r="AF13" s="211"/>
      <c r="AG13" s="79">
        <v>0</v>
      </c>
      <c r="AH13" s="79">
        <v>34</v>
      </c>
      <c r="AI13" s="79">
        <v>0</v>
      </c>
      <c r="AJ13" s="79">
        <v>0</v>
      </c>
      <c r="AK13" s="79">
        <v>0</v>
      </c>
      <c r="AL13" s="76"/>
      <c r="AM13" s="81"/>
    </row>
    <row r="14" spans="1:39" ht="15" customHeight="1">
      <c r="A14" s="72" t="s">
        <v>986</v>
      </c>
      <c r="B14" s="73" t="s">
        <v>964</v>
      </c>
      <c r="C14" s="214" t="s">
        <v>733</v>
      </c>
      <c r="D14" s="214"/>
      <c r="E14" s="214"/>
      <c r="F14" s="214" t="s">
        <v>987</v>
      </c>
      <c r="G14" s="214"/>
      <c r="H14" s="215">
        <v>54</v>
      </c>
      <c r="I14" s="215"/>
      <c r="J14" s="82" t="s">
        <v>649</v>
      </c>
      <c r="K14" s="216">
        <v>54</v>
      </c>
      <c r="L14" s="216"/>
      <c r="M14" s="211">
        <v>54</v>
      </c>
      <c r="N14" s="211"/>
      <c r="O14" s="211"/>
      <c r="P14" s="211">
        <v>70</v>
      </c>
      <c r="Q14" s="211"/>
      <c r="R14" s="211">
        <v>0</v>
      </c>
      <c r="S14" s="211"/>
      <c r="T14" s="211"/>
      <c r="U14" s="211">
        <v>54</v>
      </c>
      <c r="V14" s="211"/>
      <c r="W14" s="79">
        <v>54</v>
      </c>
      <c r="X14" s="79">
        <v>54</v>
      </c>
      <c r="Y14" s="213">
        <v>0</v>
      </c>
      <c r="Z14" s="213"/>
      <c r="AA14" s="213"/>
      <c r="AB14" s="211">
        <v>0</v>
      </c>
      <c r="AC14" s="211"/>
      <c r="AD14" s="79">
        <v>85</v>
      </c>
      <c r="AE14" s="211">
        <v>0</v>
      </c>
      <c r="AF14" s="211"/>
      <c r="AG14" s="79">
        <v>73</v>
      </c>
      <c r="AH14" s="79">
        <v>54</v>
      </c>
      <c r="AI14" s="79">
        <v>0</v>
      </c>
      <c r="AJ14" s="79">
        <v>0</v>
      </c>
      <c r="AK14" s="79">
        <v>0</v>
      </c>
      <c r="AL14" s="76"/>
      <c r="AM14" s="77"/>
    </row>
    <row r="15" spans="1:39" ht="15">
      <c r="A15" s="72" t="s">
        <v>990</v>
      </c>
      <c r="B15" s="73" t="s">
        <v>964</v>
      </c>
      <c r="C15" s="214" t="s">
        <v>852</v>
      </c>
      <c r="D15" s="214"/>
      <c r="E15" s="214"/>
      <c r="F15" s="214" t="s">
        <v>991</v>
      </c>
      <c r="G15" s="214"/>
      <c r="H15" s="215">
        <v>4</v>
      </c>
      <c r="I15" s="215"/>
      <c r="J15" s="78" t="s">
        <v>649</v>
      </c>
      <c r="K15" s="211">
        <v>4</v>
      </c>
      <c r="L15" s="211"/>
      <c r="M15" s="213">
        <v>4</v>
      </c>
      <c r="N15" s="213"/>
      <c r="O15" s="213"/>
      <c r="P15" s="213">
        <v>4</v>
      </c>
      <c r="Q15" s="213"/>
      <c r="R15" s="211">
        <v>0</v>
      </c>
      <c r="S15" s="211"/>
      <c r="T15" s="211"/>
      <c r="U15" s="211">
        <v>4</v>
      </c>
      <c r="V15" s="211"/>
      <c r="W15" s="79">
        <v>4</v>
      </c>
      <c r="X15" s="79">
        <v>4</v>
      </c>
      <c r="Y15" s="213">
        <v>0</v>
      </c>
      <c r="Z15" s="213"/>
      <c r="AA15" s="213"/>
      <c r="AB15" s="213">
        <v>0</v>
      </c>
      <c r="AC15" s="213"/>
      <c r="AD15" s="79">
        <v>4</v>
      </c>
      <c r="AE15" s="213">
        <v>0</v>
      </c>
      <c r="AF15" s="213"/>
      <c r="AG15" s="79">
        <v>8</v>
      </c>
      <c r="AH15" s="79">
        <v>4</v>
      </c>
      <c r="AI15" s="79">
        <v>0</v>
      </c>
      <c r="AJ15" s="79">
        <v>0</v>
      </c>
      <c r="AK15" s="79">
        <v>4</v>
      </c>
      <c r="AL15" s="76"/>
      <c r="AM15" s="77"/>
    </row>
    <row r="16" spans="1:39" ht="15">
      <c r="A16" s="72" t="s">
        <v>992</v>
      </c>
      <c r="B16" s="73" t="s">
        <v>964</v>
      </c>
      <c r="C16" s="214" t="s">
        <v>993</v>
      </c>
      <c r="D16" s="214"/>
      <c r="E16" s="214"/>
      <c r="F16" s="214" t="s">
        <v>994</v>
      </c>
      <c r="G16" s="214"/>
      <c r="H16" s="215">
        <v>29</v>
      </c>
      <c r="I16" s="215"/>
      <c r="J16" s="83" t="s">
        <v>995</v>
      </c>
      <c r="K16" s="210">
        <v>29</v>
      </c>
      <c r="L16" s="210"/>
      <c r="M16" s="212">
        <v>29</v>
      </c>
      <c r="N16" s="212"/>
      <c r="O16" s="212"/>
      <c r="P16" s="212">
        <v>56</v>
      </c>
      <c r="Q16" s="212"/>
      <c r="R16" s="210">
        <v>0</v>
      </c>
      <c r="S16" s="210"/>
      <c r="T16" s="210"/>
      <c r="U16" s="211">
        <v>29</v>
      </c>
      <c r="V16" s="211"/>
      <c r="W16" s="76">
        <v>37</v>
      </c>
      <c r="X16" s="76">
        <v>39</v>
      </c>
      <c r="Y16" s="212">
        <v>0</v>
      </c>
      <c r="Z16" s="212"/>
      <c r="AA16" s="212"/>
      <c r="AB16" s="212">
        <v>0</v>
      </c>
      <c r="AC16" s="212"/>
      <c r="AD16" s="76">
        <v>205</v>
      </c>
      <c r="AE16" s="213">
        <v>0</v>
      </c>
      <c r="AF16" s="213"/>
      <c r="AG16" s="79">
        <v>143</v>
      </c>
      <c r="AH16" s="76">
        <v>46</v>
      </c>
      <c r="AI16" s="76">
        <v>166</v>
      </c>
      <c r="AJ16" s="76">
        <v>30</v>
      </c>
      <c r="AK16" s="76">
        <v>0</v>
      </c>
      <c r="AL16" s="76"/>
      <c r="AM16" s="77"/>
    </row>
    <row r="17" spans="1:39" ht="15">
      <c r="A17" s="72"/>
      <c r="B17" s="73"/>
      <c r="C17" s="214" t="s">
        <v>927</v>
      </c>
      <c r="D17" s="214"/>
      <c r="E17" s="214"/>
      <c r="F17" s="214" t="s">
        <v>996</v>
      </c>
      <c r="G17" s="214"/>
      <c r="H17" s="215"/>
      <c r="I17" s="215"/>
      <c r="J17" s="83"/>
      <c r="K17" s="76">
        <v>1</v>
      </c>
      <c r="L17" s="76"/>
      <c r="M17" s="76">
        <v>0</v>
      </c>
      <c r="N17" s="76"/>
      <c r="O17" s="76"/>
      <c r="P17" s="76"/>
      <c r="Q17" s="76"/>
      <c r="R17" s="76"/>
      <c r="S17" s="76"/>
      <c r="T17" s="76"/>
      <c r="U17" s="76"/>
      <c r="V17" s="76"/>
      <c r="W17" s="76" t="s">
        <v>997</v>
      </c>
      <c r="X17" s="76" t="s">
        <v>997</v>
      </c>
      <c r="Y17" s="76"/>
      <c r="Z17" s="76"/>
      <c r="AA17" s="76"/>
      <c r="AB17" s="76"/>
      <c r="AC17" s="76"/>
      <c r="AD17" s="76" t="s">
        <v>997</v>
      </c>
      <c r="AE17" s="76"/>
      <c r="AF17" s="76"/>
      <c r="AG17" s="76"/>
      <c r="AH17" s="76" t="s">
        <v>997</v>
      </c>
      <c r="AI17" s="76"/>
      <c r="AJ17" s="76" t="s">
        <v>997</v>
      </c>
      <c r="AK17" s="76"/>
      <c r="AL17" s="76"/>
      <c r="AM17" s="77"/>
    </row>
    <row r="18" spans="1:39">
      <c r="K18" s="207" t="s">
        <v>998</v>
      </c>
      <c r="L18" s="208"/>
      <c r="M18" s="208"/>
      <c r="N18" s="208"/>
      <c r="O18" s="209"/>
      <c r="P18" s="207" t="s">
        <v>999</v>
      </c>
      <c r="Q18" s="209"/>
      <c r="R18" s="207" t="s">
        <v>1000</v>
      </c>
      <c r="S18" s="208"/>
      <c r="T18" s="209"/>
      <c r="W18" s="207" t="s">
        <v>1001</v>
      </c>
      <c r="X18" s="209"/>
      <c r="Y18" s="207" t="s">
        <v>1002</v>
      </c>
      <c r="Z18" s="208"/>
      <c r="AA18" s="208"/>
      <c r="AB18" s="208"/>
      <c r="AC18" s="209"/>
      <c r="AD18" s="84" t="s">
        <v>1003</v>
      </c>
      <c r="AE18" s="207" t="s">
        <v>1003</v>
      </c>
      <c r="AF18" s="209"/>
      <c r="AG18" s="84" t="s">
        <v>1003</v>
      </c>
      <c r="AH18" s="84" t="s">
        <v>1004</v>
      </c>
      <c r="AI18" s="84" t="s">
        <v>1005</v>
      </c>
      <c r="AJ18" s="84" t="s">
        <v>1006</v>
      </c>
      <c r="AK18" s="85" t="s">
        <v>1007</v>
      </c>
      <c r="AL18" s="44"/>
    </row>
    <row r="19" spans="1:39">
      <c r="K19" s="207" t="s">
        <v>1008</v>
      </c>
      <c r="L19" s="208"/>
      <c r="M19" s="208"/>
      <c r="N19" s="208"/>
      <c r="O19" s="209"/>
      <c r="P19" s="207" t="s">
        <v>1009</v>
      </c>
      <c r="Q19" s="209"/>
      <c r="R19" s="207" t="s">
        <v>1010</v>
      </c>
      <c r="S19" s="208"/>
      <c r="T19" s="209"/>
      <c r="W19" s="207" t="s">
        <v>1011</v>
      </c>
      <c r="X19" s="209"/>
      <c r="Y19" s="207" t="s">
        <v>1012</v>
      </c>
      <c r="Z19" s="208"/>
      <c r="AA19" s="208"/>
      <c r="AB19" s="208"/>
      <c r="AC19" s="209"/>
      <c r="AD19" s="85" t="s">
        <v>1013</v>
      </c>
      <c r="AE19" s="207" t="s">
        <v>1013</v>
      </c>
      <c r="AF19" s="209"/>
      <c r="AG19" s="84" t="s">
        <v>1014</v>
      </c>
      <c r="AI19" t="s">
        <v>1015</v>
      </c>
      <c r="AK19" s="85" t="s">
        <v>1007</v>
      </c>
      <c r="AL19" s="44"/>
    </row>
    <row r="20" spans="1:39">
      <c r="A20" t="s">
        <v>1016</v>
      </c>
      <c r="K20" s="207" t="s">
        <v>1017</v>
      </c>
      <c r="L20" s="208"/>
      <c r="M20" s="208"/>
      <c r="N20" s="208"/>
      <c r="O20" s="209"/>
      <c r="P20" s="207" t="s">
        <v>1018</v>
      </c>
      <c r="Q20" s="209"/>
      <c r="R20" s="207" t="s">
        <v>1019</v>
      </c>
      <c r="S20" s="208"/>
      <c r="T20" s="209"/>
      <c r="W20" s="207" t="s">
        <v>1020</v>
      </c>
      <c r="X20" s="209"/>
      <c r="Y20" s="207" t="s">
        <v>1021</v>
      </c>
      <c r="Z20" s="208"/>
      <c r="AA20" s="208"/>
      <c r="AB20" s="208"/>
      <c r="AC20" s="209"/>
      <c r="AD20" s="84" t="s">
        <v>1022</v>
      </c>
      <c r="AE20" s="207" t="s">
        <v>1022</v>
      </c>
      <c r="AF20" s="209"/>
      <c r="AG20" s="84" t="s">
        <v>1023</v>
      </c>
    </row>
    <row r="21" spans="1:39" ht="15">
      <c r="K21" s="202" t="s">
        <v>1024</v>
      </c>
      <c r="L21" s="204"/>
      <c r="M21" s="202" t="s">
        <v>1025</v>
      </c>
      <c r="N21" s="203"/>
      <c r="O21" s="204"/>
      <c r="P21" s="206" t="s">
        <v>1026</v>
      </c>
      <c r="Q21" s="206"/>
      <c r="R21" s="206" t="s">
        <v>1026</v>
      </c>
      <c r="S21" s="206"/>
      <c r="T21" s="206"/>
      <c r="W21" s="86"/>
      <c r="X21" s="86"/>
      <c r="Y21" s="206" t="s">
        <v>1027</v>
      </c>
      <c r="Z21" s="206"/>
      <c r="AA21" s="206"/>
      <c r="AB21" s="206"/>
      <c r="AC21" s="206"/>
      <c r="AD21" s="84" t="s">
        <v>1028</v>
      </c>
      <c r="AE21" s="206" t="s">
        <v>1028</v>
      </c>
      <c r="AF21" s="206"/>
      <c r="AG21" s="87" t="s">
        <v>1029</v>
      </c>
    </row>
    <row r="22" spans="1:39" ht="15">
      <c r="A22" t="s">
        <v>1030</v>
      </c>
      <c r="C22" t="s">
        <v>1031</v>
      </c>
      <c r="K22" s="202" t="s">
        <v>1032</v>
      </c>
      <c r="L22" s="203"/>
      <c r="M22" s="203"/>
      <c r="N22" s="203"/>
      <c r="O22" s="204"/>
    </row>
    <row r="23" spans="1:39">
      <c r="K23" s="205" t="s">
        <v>1033</v>
      </c>
      <c r="L23" s="205"/>
      <c r="M23" s="205"/>
      <c r="N23" s="205"/>
      <c r="O23" s="205"/>
    </row>
    <row r="25" spans="1:39">
      <c r="B25" t="s">
        <v>1034</v>
      </c>
    </row>
    <row r="26" spans="1:39">
      <c r="A26" t="s">
        <v>1035</v>
      </c>
      <c r="B26">
        <v>397</v>
      </c>
    </row>
    <row r="27" spans="1:39" ht="89.25">
      <c r="A27" t="s">
        <v>1036</v>
      </c>
      <c r="B27" s="88" t="s">
        <v>1037</v>
      </c>
      <c r="O27" s="44"/>
    </row>
    <row r="28" spans="1:39">
      <c r="B28" t="s">
        <v>1038</v>
      </c>
      <c r="C28" t="s">
        <v>1039</v>
      </c>
    </row>
    <row r="29" spans="1:39">
      <c r="B29" t="s">
        <v>1040</v>
      </c>
      <c r="C29" t="s">
        <v>999</v>
      </c>
    </row>
    <row r="30" spans="1:39">
      <c r="B30" t="s">
        <v>1041</v>
      </c>
      <c r="C30" t="s">
        <v>1042</v>
      </c>
      <c r="D30" t="s">
        <v>1043</v>
      </c>
    </row>
  </sheetData>
  <mergeCells count="204">
    <mergeCell ref="AE1:AF1"/>
    <mergeCell ref="C2:E2"/>
    <mergeCell ref="H2:I2"/>
    <mergeCell ref="K2:L2"/>
    <mergeCell ref="M2:O2"/>
    <mergeCell ref="P2:Q2"/>
    <mergeCell ref="C1:E1"/>
    <mergeCell ref="F1:G1"/>
    <mergeCell ref="H1:I1"/>
    <mergeCell ref="K1:L1"/>
    <mergeCell ref="M1:O1"/>
    <mergeCell ref="P1:Q1"/>
    <mergeCell ref="C3:E3"/>
    <mergeCell ref="F3:G3"/>
    <mergeCell ref="H3:I3"/>
    <mergeCell ref="K3:L3"/>
    <mergeCell ref="M3:O3"/>
    <mergeCell ref="R1:T1"/>
    <mergeCell ref="U1:V1"/>
    <mergeCell ref="Y1:AA1"/>
    <mergeCell ref="AB1:AC1"/>
    <mergeCell ref="P3:Q3"/>
    <mergeCell ref="R3:T3"/>
    <mergeCell ref="U3:V3"/>
    <mergeCell ref="Y3:AA3"/>
    <mergeCell ref="AB3:AC3"/>
    <mergeCell ref="AE3:AF3"/>
    <mergeCell ref="R2:T2"/>
    <mergeCell ref="U2:V2"/>
    <mergeCell ref="Y2:AA2"/>
    <mergeCell ref="AB2:AC2"/>
    <mergeCell ref="AE2:AF2"/>
    <mergeCell ref="C5:E5"/>
    <mergeCell ref="F5:G5"/>
    <mergeCell ref="H5:I5"/>
    <mergeCell ref="K5:L5"/>
    <mergeCell ref="M5:O5"/>
    <mergeCell ref="C4:E4"/>
    <mergeCell ref="F4:G4"/>
    <mergeCell ref="H4:I4"/>
    <mergeCell ref="K4:L4"/>
    <mergeCell ref="M4:O4"/>
    <mergeCell ref="P5:Q5"/>
    <mergeCell ref="R5:T5"/>
    <mergeCell ref="U5:V5"/>
    <mergeCell ref="Y5:AA5"/>
    <mergeCell ref="AB5:AC5"/>
    <mergeCell ref="AE5:AF5"/>
    <mergeCell ref="R4:T4"/>
    <mergeCell ref="U4:V4"/>
    <mergeCell ref="Y4:AA4"/>
    <mergeCell ref="AB4:AC4"/>
    <mergeCell ref="AE4:AF4"/>
    <mergeCell ref="P4:Q4"/>
    <mergeCell ref="C7:E7"/>
    <mergeCell ref="F7:G7"/>
    <mergeCell ref="H7:I7"/>
    <mergeCell ref="K7:L7"/>
    <mergeCell ref="M7:O7"/>
    <mergeCell ref="C6:E6"/>
    <mergeCell ref="F6:G6"/>
    <mergeCell ref="H6:I6"/>
    <mergeCell ref="K6:L6"/>
    <mergeCell ref="M6:O6"/>
    <mergeCell ref="P7:Q7"/>
    <mergeCell ref="R7:T7"/>
    <mergeCell ref="U7:V7"/>
    <mergeCell ref="Y7:AA7"/>
    <mergeCell ref="AB7:AC7"/>
    <mergeCell ref="AE7:AF7"/>
    <mergeCell ref="R6:T6"/>
    <mergeCell ref="U6:V6"/>
    <mergeCell ref="Y6:AA6"/>
    <mergeCell ref="AB6:AC6"/>
    <mergeCell ref="AE6:AF6"/>
    <mergeCell ref="P6:Q6"/>
    <mergeCell ref="C9:E9"/>
    <mergeCell ref="F9:G9"/>
    <mergeCell ref="H9:I9"/>
    <mergeCell ref="K9:L9"/>
    <mergeCell ref="M9:O9"/>
    <mergeCell ref="C8:E8"/>
    <mergeCell ref="F8:G8"/>
    <mergeCell ref="H8:I8"/>
    <mergeCell ref="K8:L8"/>
    <mergeCell ref="M8:O8"/>
    <mergeCell ref="P9:Q9"/>
    <mergeCell ref="R9:T9"/>
    <mergeCell ref="U9:V9"/>
    <mergeCell ref="Y9:AA9"/>
    <mergeCell ref="AB9:AC9"/>
    <mergeCell ref="AE9:AF9"/>
    <mergeCell ref="R8:T8"/>
    <mergeCell ref="U8:V8"/>
    <mergeCell ref="Y8:AA8"/>
    <mergeCell ref="AB8:AC8"/>
    <mergeCell ref="AE8:AF8"/>
    <mergeCell ref="P8:Q8"/>
    <mergeCell ref="C11:E11"/>
    <mergeCell ref="F11:G11"/>
    <mergeCell ref="H11:I11"/>
    <mergeCell ref="K11:L11"/>
    <mergeCell ref="M11:O11"/>
    <mergeCell ref="C10:E10"/>
    <mergeCell ref="F10:G10"/>
    <mergeCell ref="H10:I10"/>
    <mergeCell ref="K10:L10"/>
    <mergeCell ref="M10:O10"/>
    <mergeCell ref="P11:Q11"/>
    <mergeCell ref="R11:T11"/>
    <mergeCell ref="U11:V11"/>
    <mergeCell ref="Y11:AA11"/>
    <mergeCell ref="AB11:AC11"/>
    <mergeCell ref="AE11:AF11"/>
    <mergeCell ref="R10:T10"/>
    <mergeCell ref="U10:V10"/>
    <mergeCell ref="Y10:AA10"/>
    <mergeCell ref="AB10:AC10"/>
    <mergeCell ref="AE10:AF10"/>
    <mergeCell ref="P10:Q10"/>
    <mergeCell ref="C13:E13"/>
    <mergeCell ref="F13:G13"/>
    <mergeCell ref="H13:I13"/>
    <mergeCell ref="K13:L13"/>
    <mergeCell ref="M13:O13"/>
    <mergeCell ref="C12:E12"/>
    <mergeCell ref="F12:G12"/>
    <mergeCell ref="H12:I12"/>
    <mergeCell ref="K12:L12"/>
    <mergeCell ref="M12:O12"/>
    <mergeCell ref="P13:Q13"/>
    <mergeCell ref="R13:T13"/>
    <mergeCell ref="U13:V13"/>
    <mergeCell ref="Y13:AA13"/>
    <mergeCell ref="AB13:AC13"/>
    <mergeCell ref="AE13:AF13"/>
    <mergeCell ref="R12:T12"/>
    <mergeCell ref="U12:V12"/>
    <mergeCell ref="Y12:AA12"/>
    <mergeCell ref="AB12:AC12"/>
    <mergeCell ref="AE12:AF12"/>
    <mergeCell ref="P12:Q12"/>
    <mergeCell ref="C15:E15"/>
    <mergeCell ref="F15:G15"/>
    <mergeCell ref="H15:I15"/>
    <mergeCell ref="K15:L15"/>
    <mergeCell ref="M15:O15"/>
    <mergeCell ref="C14:E14"/>
    <mergeCell ref="F14:G14"/>
    <mergeCell ref="H14:I14"/>
    <mergeCell ref="K14:L14"/>
    <mergeCell ref="M14:O14"/>
    <mergeCell ref="P15:Q15"/>
    <mergeCell ref="R15:T15"/>
    <mergeCell ref="U15:V15"/>
    <mergeCell ref="Y15:AA15"/>
    <mergeCell ref="AB15:AC15"/>
    <mergeCell ref="AE15:AF15"/>
    <mergeCell ref="R14:T14"/>
    <mergeCell ref="U14:V14"/>
    <mergeCell ref="Y14:AA14"/>
    <mergeCell ref="AB14:AC14"/>
    <mergeCell ref="AE14:AF14"/>
    <mergeCell ref="P14:Q14"/>
    <mergeCell ref="R16:T16"/>
    <mergeCell ref="U16:V16"/>
    <mergeCell ref="Y16:AA16"/>
    <mergeCell ref="AB16:AC16"/>
    <mergeCell ref="AE16:AF16"/>
    <mergeCell ref="C17:E17"/>
    <mergeCell ref="F17:G17"/>
    <mergeCell ref="H17:I17"/>
    <mergeCell ref="C16:E16"/>
    <mergeCell ref="F16:G16"/>
    <mergeCell ref="H16:I16"/>
    <mergeCell ref="K16:L16"/>
    <mergeCell ref="M16:O16"/>
    <mergeCell ref="P16:Q16"/>
    <mergeCell ref="K19:O19"/>
    <mergeCell ref="P19:Q19"/>
    <mergeCell ref="R19:T19"/>
    <mergeCell ref="W19:X19"/>
    <mergeCell ref="Y19:AC19"/>
    <mergeCell ref="AE19:AF19"/>
    <mergeCell ref="K18:O18"/>
    <mergeCell ref="P18:Q18"/>
    <mergeCell ref="R18:T18"/>
    <mergeCell ref="W18:X18"/>
    <mergeCell ref="Y18:AC18"/>
    <mergeCell ref="AE18:AF18"/>
    <mergeCell ref="K22:O22"/>
    <mergeCell ref="K23:O23"/>
    <mergeCell ref="K21:L21"/>
    <mergeCell ref="M21:O21"/>
    <mergeCell ref="P21:Q21"/>
    <mergeCell ref="R21:T21"/>
    <mergeCell ref="Y21:AC21"/>
    <mergeCell ref="AE21:AF21"/>
    <mergeCell ref="K20:O20"/>
    <mergeCell ref="P20:Q20"/>
    <mergeCell ref="R20:T20"/>
    <mergeCell ref="W20:X20"/>
    <mergeCell ref="Y20:AC20"/>
    <mergeCell ref="AE20:AF20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b5d572-7eda-4bc5-a61d-3cadc2970c1b" xsi:nil="true"/>
    <lcf76f155ced4ddcb4097134ff3c332f xmlns="00144460-e5e1-47f1-8342-c0b8d759e3d8">
      <Terms xmlns="http://schemas.microsoft.com/office/infopath/2007/PartnerControls"/>
    </lcf76f155ced4ddcb4097134ff3c332f>
    <kc3c154570544122a9bd4c55999332d3 xmlns="00144460-e5e1-47f1-8342-c0b8d759e3d8">
      <Terms xmlns="http://schemas.microsoft.com/office/infopath/2007/PartnerControls"/>
    </kc3c154570544122a9bd4c55999332d3>
    <Noter xmlns="00144460-e5e1-47f1-8342-c0b8d759e3d8" xsi:nil="true"/>
    <p317993ce7eb40c58d9dd443e0bec9bf xmlns="00144460-e5e1-47f1-8342-c0b8d759e3d8">
      <Terms xmlns="http://schemas.microsoft.com/office/infopath/2007/PartnerControls"/>
    </p317993ce7eb40c58d9dd443e0bec9bf>
    <ab911a90c6a34c1e8f359b203c488b92 xmlns="00144460-e5e1-47f1-8342-c0b8d759e3d8">
      <Terms xmlns="http://schemas.microsoft.com/office/infopath/2007/PartnerControls"/>
    </ab911a90c6a34c1e8f359b203c488b92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4B7492A5C4DE469F8D1039F26007C7" ma:contentTypeVersion="22" ma:contentTypeDescription="Create a new document." ma:contentTypeScope="" ma:versionID="a547f9d6be680737da051ef5c73cda81">
  <xsd:schema xmlns:xsd="http://www.w3.org/2001/XMLSchema" xmlns:xs="http://www.w3.org/2001/XMLSchema" xmlns:p="http://schemas.microsoft.com/office/2006/metadata/properties" xmlns:ns2="00144460-e5e1-47f1-8342-c0b8d759e3d8" xmlns:ns3="a8b5d572-7eda-4bc5-a61d-3cadc2970c1b" targetNamespace="http://schemas.microsoft.com/office/2006/metadata/properties" ma:root="true" ma:fieldsID="30993cea579159bf001936a1f5b95970" ns2:_="" ns3:_="">
    <xsd:import namespace="00144460-e5e1-47f1-8342-c0b8d759e3d8"/>
    <xsd:import namespace="a8b5d572-7eda-4bc5-a61d-3cadc2970c1b"/>
    <xsd:element name="properties">
      <xsd:complexType>
        <xsd:sequence>
          <xsd:element name="documentManagement">
            <xsd:complexType>
              <xsd:all>
                <xsd:element ref="ns2:ab911a90c6a34c1e8f359b203c488b92" minOccurs="0"/>
                <xsd:element ref="ns2:p317993ce7eb40c58d9dd443e0bec9bf" minOccurs="0"/>
                <xsd:element ref="ns2:kc3c154570544122a9bd4c55999332d3" minOccurs="0"/>
                <xsd:element ref="ns3:TaxCatchAll" minOccurs="0"/>
                <xsd:element ref="ns2:Noter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144460-e5e1-47f1-8342-c0b8d759e3d8" elementFormDefault="qualified">
    <xsd:import namespace="http://schemas.microsoft.com/office/2006/documentManagement/types"/>
    <xsd:import namespace="http://schemas.microsoft.com/office/infopath/2007/PartnerControls"/>
    <xsd:element name="ab911a90c6a34c1e8f359b203c488b92" ma:index="8" nillable="true" ma:taxonomy="true" ma:internalName="ab911a90c6a34c1e8f359b203c488b92" ma:taxonomyFieldName="Dokument_x0020_type" ma:displayName="Dokument type" ma:default="" ma:fieldId="{ab911a90-c6a3-4c1e-8f35-9b203c488b92}" ma:sspId="967d6129-c6e8-4d94-b2c0-d237e0f7173f" ma:termSetId="e0a7c409-cece-4ca2-b454-aef3ce8dfdb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p317993ce7eb40c58d9dd443e0bec9bf" ma:index="9" nillable="true" ma:taxonomy="true" ma:internalName="p317993ce7eb40c58d9dd443e0bec9bf" ma:taxonomyFieldName="Teknik" ma:displayName="Teknik" ma:default="" ma:fieldId="{9317993c-e7eb-40c5-8d9d-d443e0bec9bf}" ma:sspId="967d6129-c6e8-4d94-b2c0-d237e0f7173f" ma:termSetId="8c3bb43d-1bc9-4c49-a920-d7aef46b92fd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c3c154570544122a9bd4c55999332d3" ma:index="10" nillable="true" ma:taxonomy="true" ma:internalName="kc3c154570544122a9bd4c55999332d3" ma:taxonomyFieldName="Operation" ma:displayName="Operation" ma:default="" ma:fieldId="{4c3c1545-7054-4122-a9bd-4c55999332d3}" ma:sspId="967d6129-c6e8-4d94-b2c0-d237e0f7173f" ma:termSetId="eb1d4891-8ead-42fe-80e5-774eecc8951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Noter" ma:index="15" nillable="true" ma:displayName="Noter" ma:format="Dropdown" ma:internalName="Noter">
      <xsd:simpleType>
        <xsd:restriction base="dms:Note">
          <xsd:maxLength value="255"/>
        </xsd:restriction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967d6129-c6e8-4d94-b2c0-d237e0f7173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b5d572-7eda-4bc5-a61d-3cadc2970c1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47f7361c-354c-41bd-963d-c8aa18c8743e}" ma:internalName="TaxCatchAll" ma:showField="CatchAllData" ma:web="a8b5d572-7eda-4bc5-a61d-3cadc2970c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FDAEDF-9BA0-40C6-9087-6AFC3278D41F}"/>
</file>

<file path=customXml/itemProps2.xml><?xml version="1.0" encoding="utf-8"?>
<ds:datastoreItem xmlns:ds="http://schemas.openxmlformats.org/officeDocument/2006/customXml" ds:itemID="{3DFF820D-40B5-4698-BF5A-32538DAB5DE4}"/>
</file>

<file path=customXml/itemProps3.xml><?xml version="1.0" encoding="utf-8"?>
<ds:datastoreItem xmlns:ds="http://schemas.openxmlformats.org/officeDocument/2006/customXml" ds:itemID="{E60574F7-65A6-43A1-8DF5-CDBD50C4409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Lønskov Andreas Arndal (Bravida)</cp:lastModifiedBy>
  <cp:revision/>
  <dcterms:created xsi:type="dcterms:W3CDTF">2025-03-28T08:51:39Z</dcterms:created>
  <dcterms:modified xsi:type="dcterms:W3CDTF">2026-03-05T07:43:54Z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2025-02-27T00:00:00Z</vt:filetime>
  </property>
  <property fmtid="{D5CDD505-2E9C-101B-9397-08002B2CF9AE}" pid="3" name="Creator">
    <vt:lpwstr>Bluebeam Stapler 21.1.0.10</vt:lpwstr>
  </property>
  <property fmtid="{D5CDD505-2E9C-101B-9397-08002B2CF9AE}" pid="4" name="LastSaved">
    <vt:filetime>2025-03-28T00:00:00Z</vt:filetime>
  </property>
  <property fmtid="{D5CDD505-2E9C-101B-9397-08002B2CF9AE}" pid="5" name="Producer">
    <vt:lpwstr>Bluebeam Brewery 5.0</vt:lpwstr>
  </property>
  <property fmtid="{D5CDD505-2E9C-101B-9397-08002B2CF9AE}" pid="6" name="ContentTypeId">
    <vt:lpwstr>0x010100714B7492A5C4DE469F8D1039F26007C7</vt:lpwstr>
  </property>
  <property fmtid="{D5CDD505-2E9C-101B-9397-08002B2CF9AE}" pid="7" name="MediaServiceImageTags">
    <vt:lpwstr/>
  </property>
  <property fmtid="{D5CDD505-2E9C-101B-9397-08002B2CF9AE}" pid="8" name="Teknik">
    <vt:lpwstr/>
  </property>
  <property fmtid="{D5CDD505-2E9C-101B-9397-08002B2CF9AE}" pid="9" name="Operation">
    <vt:lpwstr/>
  </property>
  <property fmtid="{D5CDD505-2E9C-101B-9397-08002B2CF9AE}" pid="10" name="Dokument type">
    <vt:lpwstr/>
  </property>
  <property fmtid="{D5CDD505-2E9C-101B-9397-08002B2CF9AE}" pid="11" name="Dokument_x0020_type">
    <vt:lpwstr/>
  </property>
</Properties>
</file>