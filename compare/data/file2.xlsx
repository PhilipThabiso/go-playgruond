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Zonetyper" sheetId="2" state="visible" r:id="rId4"/>
  </sheets>
  <definedNames>
    <definedName function="false" hidden="true" localSheetId="0" name="_xlnm._FilterDatabase" vbProcedure="false">'Table 1'!$A$2:$AJ$443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tc={B6722E28-7455-4D09-9F5D-5C23E0EB4679}</author>
  </authors>
  <commentList>
    <comment ref="B30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Ny IBI boks se PN551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204</xdr:row>
                <xdr:rowOff>10</xdr:rowOff>
              </xdr:from>
              <xdr:to>
                <xdr:col>7</xdr:col>
                <xdr:colOff>29</xdr:colOff>
                <xdr:row>457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<sst xmlns="http://schemas.openxmlformats.org/spreadsheetml/2006/main" count="2604" uniqueCount="971">
  <si>
    <t xml:space="preserve">Zone</t>
  </si>
  <si>
    <t xml:space="preserve">Tavle navn</t>
  </si>
  <si>
    <t xml:space="preserve">IBI-Boks type</t>
  </si>
  <si>
    <t xml:space="preserve">Zone Type</t>
  </si>
  <si>
    <t xml:space="preserve">BMS tavle forsyning</t>
  </si>
  <si>
    <t xml:space="preserve">Forsyning streng nr.</t>
  </si>
  <si>
    <t xml:space="preserve">IBI Buskabel streng nr.</t>
  </si>
  <si>
    <t xml:space="preserve">AHU anlæg</t>
  </si>
  <si>
    <t xml:space="preserve">IBI-Boks Rum Placering</t>
  </si>
  <si>
    <t xml:space="preserve">Beskrivelse</t>
  </si>
  <si>
    <t xml:space="preserve">Placering</t>
  </si>
  <si>
    <t xml:space="preserve">Kotehøjde</t>
  </si>
  <si>
    <t xml:space="preserve">Antal af Zone</t>
  </si>
  <si>
    <t xml:space="preserve">Sum af Rumpanel Cover</t>
  </si>
  <si>
    <t xml:space="preserve">Sum af Rumføler SLA Temp</t>
  </si>
  <si>
    <t xml:space="preserve">Luftkvalitet/Temp Rumpanel</t>
  </si>
  <si>
    <t xml:space="preserve">Temp Rumpanel</t>
  </si>
  <si>
    <t xml:space="preserve">Temperatur 
i loft</t>
  </si>
  <si>
    <t xml:space="preserve">Temperatur, 
infrarød</t>
  </si>
  <si>
    <t xml:space="preserve">VAV-spjæld, 
indbl.</t>
  </si>
  <si>
    <t xml:space="preserve">VAV-spjæld, 
uds.</t>
  </si>
  <si>
    <t xml:space="preserve">On/Off spjæld, 
indbl.</t>
  </si>
  <si>
    <t xml:space="preserve">On/Off- spjæld, 
uds.</t>
  </si>
  <si>
    <t xml:space="preserve">Ventil, 
radiator</t>
  </si>
  <si>
    <t xml:space="preserve">Ventil, 
gulvvarme</t>
  </si>
  <si>
    <t xml:space="preserve">Ventil, kølebaffel</t>
  </si>
  <si>
    <t xml:space="preserve">Sum af PIR</t>
  </si>
  <si>
    <t xml:space="preserve">Sum af 
Solafskærmnig,
 motor</t>
  </si>
  <si>
    <t xml:space="preserve">Sum af Solafskærmning, 
tryk op/ned</t>
  </si>
  <si>
    <t xml:space="preserve">Sum af Dørkontakt</t>
  </si>
  <si>
    <t xml:space="preserve">Linje nummer</t>
  </si>
  <si>
    <t xml:space="preserve">Kommentar</t>
  </si>
  <si>
    <t xml:space="preserve">Signal type </t>
  </si>
  <si>
    <t xml:space="preserve">AI/BUS</t>
  </si>
  <si>
    <t xml:space="preserve">AI</t>
  </si>
  <si>
    <t xml:space="preserve">AO</t>
  </si>
  <si>
    <t xml:space="preserve">DO</t>
  </si>
  <si>
    <t xml:space="preserve">DI</t>
  </si>
  <si>
    <t xml:space="preserve">Zone type 02</t>
  </si>
  <si>
    <t xml:space="preserve">A1.030.052</t>
  </si>
  <si>
    <t xml:space="preserve">TI-F1-A1-0801B-UAA57</t>
  </si>
  <si>
    <t xml:space="preserve">A</t>
  </si>
  <si>
    <t xml:space="preserve">02</t>
  </si>
  <si>
    <t xml:space="preserve">ABC</t>
  </si>
  <si>
    <t xml:space="preserve">0701A</t>
  </si>
  <si>
    <t xml:space="preserve">A1.030.054</t>
  </si>
  <si>
    <t xml:space="preserve">Zone type 03</t>
  </si>
  <si>
    <t xml:space="preserve">A1.020.014</t>
  </si>
  <si>
    <t xml:space="preserve">TI-F1-A1-0801B-UAA08</t>
  </si>
  <si>
    <t xml:space="preserve">03</t>
  </si>
  <si>
    <t xml:space="preserve">Over temperatur føler over nedsænket loft </t>
  </si>
  <si>
    <t xml:space="preserve">A1.020.016</t>
  </si>
  <si>
    <t xml:space="preserve">TI-F1-A1-0801B-UAA01</t>
  </si>
  <si>
    <t xml:space="preserve">A1.030.010</t>
  </si>
  <si>
    <t xml:space="preserve">TI-F1-A1-0801B-UAA27</t>
  </si>
  <si>
    <t xml:space="preserve">A2.020.004</t>
  </si>
  <si>
    <t xml:space="preserve">TI-F1-A2-0801B-UAA01</t>
  </si>
  <si>
    <t xml:space="preserve">BD</t>
  </si>
  <si>
    <t xml:space="preserve">0701E</t>
  </si>
  <si>
    <t xml:space="preserve">A2.020.032</t>
  </si>
  <si>
    <t xml:space="preserve">TI-F1-A2-0801B-UAA19</t>
  </si>
  <si>
    <t xml:space="preserve">A2.020.033</t>
  </si>
  <si>
    <t xml:space="preserve">TI-F1-A2-0801B-UAA18</t>
  </si>
  <si>
    <t xml:space="preserve">A2.020.037</t>
  </si>
  <si>
    <t xml:space="preserve">TI-F1-A2-0801B-UAA05</t>
  </si>
  <si>
    <t xml:space="preserve">A2.020.038</t>
  </si>
  <si>
    <t xml:space="preserve">TI-F1-A2-0801B-UAA04</t>
  </si>
  <si>
    <t xml:space="preserve">A2.030.009</t>
  </si>
  <si>
    <t xml:space="preserve">TI-F1-A2-0801B-UAA27</t>
  </si>
  <si>
    <t xml:space="preserve">S1.020.103</t>
  </si>
  <si>
    <t xml:space="preserve">TI-F1-S1-0801B-UAA17</t>
  </si>
  <si>
    <t xml:space="preserve">AEAD</t>
  </si>
  <si>
    <t xml:space="preserve">0701G</t>
  </si>
  <si>
    <t xml:space="preserve">S1.020.116</t>
  </si>
  <si>
    <t xml:space="preserve">TI-F1-S1-0801B-UAA11</t>
  </si>
  <si>
    <t xml:space="preserve">S1.020.142</t>
  </si>
  <si>
    <t xml:space="preserve">TI-F1-S1-0801B-UAA02</t>
  </si>
  <si>
    <t xml:space="preserve">S1.020.143</t>
  </si>
  <si>
    <t xml:space="preserve">TI-F1-S1-0801B-UAA03</t>
  </si>
  <si>
    <t xml:space="preserve">S1.020.145</t>
  </si>
  <si>
    <t xml:space="preserve">TI-F1-S1-0801B-UAA07</t>
  </si>
  <si>
    <t xml:space="preserve">S2.020.203</t>
  </si>
  <si>
    <t xml:space="preserve">TI-F1-S2-0801B-UAA17</t>
  </si>
  <si>
    <t xml:space="preserve">BFAD</t>
  </si>
  <si>
    <t xml:space="preserve">0701I</t>
  </si>
  <si>
    <t xml:space="preserve">S2.020.216</t>
  </si>
  <si>
    <t xml:space="preserve">TI-F1-S2-0801B-UAA11</t>
  </si>
  <si>
    <t xml:space="preserve">S2.020.242</t>
  </si>
  <si>
    <t xml:space="preserve">TI-F1-S2-0801B-UAA02</t>
  </si>
  <si>
    <t xml:space="preserve">S2.020.243</t>
  </si>
  <si>
    <t xml:space="preserve">TI-F1-S2-0801B-UAA03</t>
  </si>
  <si>
    <t xml:space="preserve">S2.020.245</t>
  </si>
  <si>
    <t xml:space="preserve">TI-F1-S2-0801B-UAA07</t>
  </si>
  <si>
    <t xml:space="preserve">S3.020.303</t>
  </si>
  <si>
    <t xml:space="preserve">TI-F1-S3-0801B-UAA17</t>
  </si>
  <si>
    <t xml:space="preserve">AGAD</t>
  </si>
  <si>
    <t xml:space="preserve">0701K</t>
  </si>
  <si>
    <t xml:space="preserve">S3.020.316</t>
  </si>
  <si>
    <t xml:space="preserve">TI-F1-S3-0801B-UAA11</t>
  </si>
  <si>
    <t xml:space="preserve">S3.020.342</t>
  </si>
  <si>
    <t xml:space="preserve">TI-F1-S3-0801B-UAA02</t>
  </si>
  <si>
    <t xml:space="preserve">S3.020.343</t>
  </si>
  <si>
    <t xml:space="preserve">TI-F1-S3-0801B-UAA03</t>
  </si>
  <si>
    <t xml:space="preserve">S3.020.345</t>
  </si>
  <si>
    <t xml:space="preserve">TI-F1-S3-0801B-UAA07</t>
  </si>
  <si>
    <t xml:space="preserve">S4.020.403</t>
  </si>
  <si>
    <t xml:space="preserve">TI-F1-S4-0801B-UAA17</t>
  </si>
  <si>
    <t xml:space="preserve">BHAD</t>
  </si>
  <si>
    <t xml:space="preserve">0701M</t>
  </si>
  <si>
    <t xml:space="preserve">S4.020.416</t>
  </si>
  <si>
    <t xml:space="preserve">TI-F1-S4-0801B-UAA11</t>
  </si>
  <si>
    <t xml:space="preserve">S4.020.442</t>
  </si>
  <si>
    <t xml:space="preserve">TI-F1-S4-0801B-UAA02</t>
  </si>
  <si>
    <t xml:space="preserve">S4.020.443</t>
  </si>
  <si>
    <t xml:space="preserve">TI-F1-S4-0801B-UAA03</t>
  </si>
  <si>
    <t xml:space="preserve">S4.020.445</t>
  </si>
  <si>
    <t xml:space="preserve">TI-F1-S4-0801B-UAA07</t>
  </si>
  <si>
    <t xml:space="preserve">S5.020.503</t>
  </si>
  <si>
    <t xml:space="preserve">TI-F1-S5-0801B-UAA17</t>
  </si>
  <si>
    <t xml:space="preserve">AIAD</t>
  </si>
  <si>
    <t xml:space="preserve">0701O</t>
  </si>
  <si>
    <t xml:space="preserve">S5.020.516</t>
  </si>
  <si>
    <t xml:space="preserve">TI-F1-S5-0801B-UAA11</t>
  </si>
  <si>
    <t xml:space="preserve">S5.020.542</t>
  </si>
  <si>
    <t xml:space="preserve">TI-F1-S5-0801B-UAA02</t>
  </si>
  <si>
    <t xml:space="preserve">S5.020.543</t>
  </si>
  <si>
    <t xml:space="preserve">TI-F1-S5-0801B-UAA03</t>
  </si>
  <si>
    <t xml:space="preserve">S5.020.545</t>
  </si>
  <si>
    <t xml:space="preserve">TI-F1-S5-0801B-UAA07</t>
  </si>
  <si>
    <t xml:space="preserve">S6.020.603</t>
  </si>
  <si>
    <t xml:space="preserve">TI-F1-S6-0801B-UAA17</t>
  </si>
  <si>
    <t xml:space="preserve">BJAD</t>
  </si>
  <si>
    <t xml:space="preserve">0701Q</t>
  </si>
  <si>
    <t xml:space="preserve">S6.020.616</t>
  </si>
  <si>
    <t xml:space="preserve">TI-F1-S6-0801B-UAA11</t>
  </si>
  <si>
    <t xml:space="preserve">S6.020.642</t>
  </si>
  <si>
    <t xml:space="preserve">TI-F1-S6-0801B-UAA02</t>
  </si>
  <si>
    <t xml:space="preserve">S6.020.643</t>
  </si>
  <si>
    <t xml:space="preserve">TI-F1-S6-0801B-UAA03</t>
  </si>
  <si>
    <t xml:space="preserve">S6.020.645</t>
  </si>
  <si>
    <t xml:space="preserve">TI-F1-S6-0801B-UAA07</t>
  </si>
  <si>
    <t xml:space="preserve">S7.020.703</t>
  </si>
  <si>
    <t xml:space="preserve">TI-F1-S7-0801B-UAA17</t>
  </si>
  <si>
    <t xml:space="preserve">AKAD</t>
  </si>
  <si>
    <t xml:space="preserve">0701S</t>
  </si>
  <si>
    <t xml:space="preserve">S7.020.716</t>
  </si>
  <si>
    <t xml:space="preserve">TI-F1-S7-0801B-UAA11</t>
  </si>
  <si>
    <t xml:space="preserve">S7.020.742</t>
  </si>
  <si>
    <t xml:space="preserve">TI-F1-S7-0801B-UAA02</t>
  </si>
  <si>
    <t xml:space="preserve">S7.020.743</t>
  </si>
  <si>
    <t xml:space="preserve">TI-F1-S7-0801B-UAA03</t>
  </si>
  <si>
    <t xml:space="preserve">S7.020.745</t>
  </si>
  <si>
    <t xml:space="preserve">TI-F1-S7-0801B-UAA07</t>
  </si>
  <si>
    <t xml:space="preserve">S8.020.803</t>
  </si>
  <si>
    <t xml:space="preserve">TI-F1-S8-0801B-UAA17</t>
  </si>
  <si>
    <t xml:space="preserve">BLAD</t>
  </si>
  <si>
    <t xml:space="preserve">0701U</t>
  </si>
  <si>
    <t xml:space="preserve">S8.020.816</t>
  </si>
  <si>
    <t xml:space="preserve">TI-F1-S8-0801B-UAA11</t>
  </si>
  <si>
    <t xml:space="preserve">S8.020.842</t>
  </si>
  <si>
    <t xml:space="preserve">TI-F1-S8-0801B-UAA02</t>
  </si>
  <si>
    <t xml:space="preserve">S8.020.843</t>
  </si>
  <si>
    <t xml:space="preserve">TI-F1-S8-0801B-UAA03</t>
  </si>
  <si>
    <t xml:space="preserve">S8.020.845</t>
  </si>
  <si>
    <t xml:space="preserve">TI-F1-S8-0801B-UAA07</t>
  </si>
  <si>
    <t xml:space="preserve">Zone type 04</t>
  </si>
  <si>
    <t xml:space="preserve">A1.020.009</t>
  </si>
  <si>
    <t xml:space="preserve">TI-F1-A1-0801B-UAA17</t>
  </si>
  <si>
    <t xml:space="preserve">04</t>
  </si>
  <si>
    <t xml:space="preserve">A1.020.013</t>
  </si>
  <si>
    <t xml:space="preserve">TI-F1-A1-0801B-UAA15</t>
  </si>
  <si>
    <t xml:space="preserve">A1.020.012</t>
  </si>
  <si>
    <t xml:space="preserve">A1.020.020</t>
  </si>
  <si>
    <t xml:space="preserve">TI-F1-A1-0801B-UAA03</t>
  </si>
  <si>
    <t xml:space="preserve">A1.020.022</t>
  </si>
  <si>
    <t xml:space="preserve">TI-F1-A1-0801B-UAA02</t>
  </si>
  <si>
    <t xml:space="preserve">A1.020.023</t>
  </si>
  <si>
    <t xml:space="preserve">TI-F1-A1-0801B-UAA14</t>
  </si>
  <si>
    <t xml:space="preserve">A1.020.024</t>
  </si>
  <si>
    <t xml:space="preserve">TI-F1-A1-0801B-UAA16</t>
  </si>
  <si>
    <t xml:space="preserve">A1.020.025</t>
  </si>
  <si>
    <t xml:space="preserve">TI-F1-A1-0801B-UAA04</t>
  </si>
  <si>
    <t xml:space="preserve">A1.020.051</t>
  </si>
  <si>
    <t xml:space="preserve">TI-F1-A1-0801B-UAA06</t>
  </si>
  <si>
    <t xml:space="preserve">0701D</t>
  </si>
  <si>
    <t xml:space="preserve">A1.020.084</t>
  </si>
  <si>
    <t xml:space="preserve">TI-F1-A1-0801B-UAA26</t>
  </si>
  <si>
    <t xml:space="preserve">0701B</t>
  </si>
  <si>
    <t xml:space="preserve">A1.020.085</t>
  </si>
  <si>
    <t xml:space="preserve">TI-F1-A1-0801B-UAA22</t>
  </si>
  <si>
    <t xml:space="preserve">A1.020.095</t>
  </si>
  <si>
    <t xml:space="preserve">TI-F1-A1-0801B-UAA21</t>
  </si>
  <si>
    <t xml:space="preserve">A1.020.102</t>
  </si>
  <si>
    <t xml:space="preserve">TI-F1-A1-0801B-UAA09</t>
  </si>
  <si>
    <t xml:space="preserve">A1.020.103</t>
  </si>
  <si>
    <t xml:space="preserve">TI-F1-A1-0801B-UAA10</t>
  </si>
  <si>
    <t xml:space="preserve">A1.020.104</t>
  </si>
  <si>
    <t xml:space="preserve">TI-F1-A1-0801B-UAA11</t>
  </si>
  <si>
    <t xml:space="preserve">A1.030.005</t>
  </si>
  <si>
    <t xml:space="preserve">TI-F1-A1-0801B-UAA29</t>
  </si>
  <si>
    <t xml:space="preserve">A1.030.008</t>
  </si>
  <si>
    <t xml:space="preserve">TI-F1-A1-0801B-UAA30</t>
  </si>
  <si>
    <t xml:space="preserve">A1.030.018</t>
  </si>
  <si>
    <t xml:space="preserve">TI-F1-A1-0801B-UAA35</t>
  </si>
  <si>
    <t xml:space="preserve">A1.030.020</t>
  </si>
  <si>
    <t xml:space="preserve">TI-F1-A1-0801B-UAA36</t>
  </si>
  <si>
    <t xml:space="preserve">A1.030.049</t>
  </si>
  <si>
    <t xml:space="preserve">TI-F1-A1-0801B-UAA54</t>
  </si>
  <si>
    <t xml:space="preserve">A1.030.053</t>
  </si>
  <si>
    <t xml:space="preserve">TI-F1-A1-0801B-UAA47</t>
  </si>
  <si>
    <t xml:space="preserve">A2.020.001</t>
  </si>
  <si>
    <t xml:space="preserve">TI-F1-A2-0801B-UAA10</t>
  </si>
  <si>
    <t xml:space="preserve">A2.020.002</t>
  </si>
  <si>
    <t xml:space="preserve">TI-F1-A2-0801B-UAA09</t>
  </si>
  <si>
    <t xml:space="preserve">A2.020.003</t>
  </si>
  <si>
    <t xml:space="preserve">TI-F1-A2-0801B-UAA08</t>
  </si>
  <si>
    <t xml:space="preserve">A2.020.006</t>
  </si>
  <si>
    <t xml:space="preserve">TI-F1-A2-0801B-UAA12</t>
  </si>
  <si>
    <t xml:space="preserve">A2.020.011</t>
  </si>
  <si>
    <t xml:space="preserve">A2.020.012</t>
  </si>
  <si>
    <t xml:space="preserve">TI-F1-A2-0801B-UAA13</t>
  </si>
  <si>
    <t xml:space="preserve">A2.020.021</t>
  </si>
  <si>
    <t xml:space="preserve">TI-F1-A2-0801B-UAA02</t>
  </si>
  <si>
    <t xml:space="preserve">A2.020.022</t>
  </si>
  <si>
    <t xml:space="preserve">TI-F1-A2-0801B-UAA26</t>
  </si>
  <si>
    <t xml:space="preserve">A2.020.025</t>
  </si>
  <si>
    <t xml:space="preserve">TI-F1-A2-0801B-UAA25</t>
  </si>
  <si>
    <t xml:space="preserve">A2.020.027</t>
  </si>
  <si>
    <t xml:space="preserve">TI-F1-A2-0801B-UAA21</t>
  </si>
  <si>
    <t xml:space="preserve">A2.020.029</t>
  </si>
  <si>
    <t xml:space="preserve">A2.020.044</t>
  </si>
  <si>
    <t xml:space="preserve">TI-F1-A2-0801B-UAA11</t>
  </si>
  <si>
    <t xml:space="preserve">A2.020.045</t>
  </si>
  <si>
    <t xml:space="preserve">TI-F1-A2-0801B-UAA17</t>
  </si>
  <si>
    <t xml:space="preserve">A2.030.002</t>
  </si>
  <si>
    <t xml:space="preserve">TI-F1-A2-0801B-UAA30</t>
  </si>
  <si>
    <t xml:space="preserve">A2.030.014</t>
  </si>
  <si>
    <t xml:space="preserve">TI-F1-A2-0801B-UAA32</t>
  </si>
  <si>
    <t xml:space="preserve">A2.030.015</t>
  </si>
  <si>
    <t xml:space="preserve">TI-F1-A2-0801B-UAA31</t>
  </si>
  <si>
    <t xml:space="preserve">A2.030.024</t>
  </si>
  <si>
    <t xml:space="preserve">TI-F1-A2-0801B-UAA51</t>
  </si>
  <si>
    <t xml:space="preserve">A2.030.043</t>
  </si>
  <si>
    <t xml:space="preserve">TI-F1-A2-0801B-UAA53</t>
  </si>
  <si>
    <t xml:space="preserve">A2.040.001</t>
  </si>
  <si>
    <t xml:space="preserve">TI-F1-A2-0801B-UAA55</t>
  </si>
  <si>
    <t xml:space="preserve">A2.040.002</t>
  </si>
  <si>
    <t xml:space="preserve">TI-F1-A2-0801B-UAA56</t>
  </si>
  <si>
    <t xml:space="preserve">A2.040.003</t>
  </si>
  <si>
    <t xml:space="preserve">TI-F1-A2-0801B-UAA54</t>
  </si>
  <si>
    <t xml:space="preserve">S1.020.101</t>
  </si>
  <si>
    <t xml:space="preserve">TI-F1-S1-0801B-UAA14</t>
  </si>
  <si>
    <t xml:space="preserve">S1.020.102</t>
  </si>
  <si>
    <t xml:space="preserve">S1.020.104</t>
  </si>
  <si>
    <t xml:space="preserve">TI-F1-S1-0801B-UAA23</t>
  </si>
  <si>
    <t xml:space="preserve">S1.020.105</t>
  </si>
  <si>
    <t xml:space="preserve">TI-F1-S1-0801B-UAA19</t>
  </si>
  <si>
    <t xml:space="preserve">S1.020.106</t>
  </si>
  <si>
    <t xml:space="preserve">TI-F1-S1-0801B-UAA20</t>
  </si>
  <si>
    <t xml:space="preserve">S1.020.110</t>
  </si>
  <si>
    <t xml:space="preserve">TI-F1-S1-0801B-UAA22</t>
  </si>
  <si>
    <t xml:space="preserve">S1.020.111</t>
  </si>
  <si>
    <t xml:space="preserve">TI-F1-S1-0801B-UAA21</t>
  </si>
  <si>
    <t xml:space="preserve">S1.020.115</t>
  </si>
  <si>
    <t xml:space="preserve">TI-F1-S1-0801B-UAA12</t>
  </si>
  <si>
    <t xml:space="preserve">S1.020.119</t>
  </si>
  <si>
    <t xml:space="preserve">TI-F1-S1-0801B-UAA15</t>
  </si>
  <si>
    <t xml:space="preserve">S1.020.134</t>
  </si>
  <si>
    <t xml:space="preserve">TI-F1-S1-0801B-UAA10</t>
  </si>
  <si>
    <t xml:space="preserve">S1.020.136</t>
  </si>
  <si>
    <t xml:space="preserve">TI-F1-S1-0801B-UAA09</t>
  </si>
  <si>
    <t xml:space="preserve">S1.020.137</t>
  </si>
  <si>
    <t xml:space="preserve">TI-F1-S1-0801B-UAA01</t>
  </si>
  <si>
    <t xml:space="preserve">S1.020.138</t>
  </si>
  <si>
    <t xml:space="preserve">TI-F1-S1-0801B-UAA08</t>
  </si>
  <si>
    <t xml:space="preserve">S1.020.140</t>
  </si>
  <si>
    <t xml:space="preserve">TI-F1-S1-0801B-UAA06</t>
  </si>
  <si>
    <t xml:space="preserve">S2.020.210</t>
  </si>
  <si>
    <t xml:space="preserve">TI-F1-S2-0801B-UAA22</t>
  </si>
  <si>
    <t xml:space="preserve">S2.020.211</t>
  </si>
  <si>
    <t xml:space="preserve">TI-F1-S2-0801B-UAA21</t>
  </si>
  <si>
    <t xml:space="preserve">S2.020.215</t>
  </si>
  <si>
    <t xml:space="preserve">TI-F1-S2-0801B-UAA12</t>
  </si>
  <si>
    <t xml:space="preserve">S2.020.219</t>
  </si>
  <si>
    <t xml:space="preserve">TI-F1-S2-0801B-UAA15</t>
  </si>
  <si>
    <t xml:space="preserve">S2.020.234</t>
  </si>
  <si>
    <t xml:space="preserve">TI-F1-S2-0801B-UAA10</t>
  </si>
  <si>
    <t xml:space="preserve">S2.020.236</t>
  </si>
  <si>
    <t xml:space="preserve">TI-F1-S2-0801B-UAA09</t>
  </si>
  <si>
    <t xml:space="preserve">S2.020.237</t>
  </si>
  <si>
    <t xml:space="preserve">TI-F1-S2-0801B-UAA01</t>
  </si>
  <si>
    <t xml:space="preserve">S2.020.238</t>
  </si>
  <si>
    <t xml:space="preserve">TI-F1-S2-0801B-UAA08</t>
  </si>
  <si>
    <t xml:space="preserve">S2.020.240</t>
  </si>
  <si>
    <t xml:space="preserve">TI-F1-S2-0801B-UAA06</t>
  </si>
  <si>
    <t xml:space="preserve">S2.020.241</t>
  </si>
  <si>
    <t xml:space="preserve">TI-F1-S2-0801B-UAA05</t>
  </si>
  <si>
    <t xml:space="preserve">S2.030.205</t>
  </si>
  <si>
    <t xml:space="preserve">TI-F1-S2-0801B-UAA29</t>
  </si>
  <si>
    <t xml:space="preserve">S2.030.210</t>
  </si>
  <si>
    <t xml:space="preserve">TI-F1-S2-0801B-UAA33</t>
  </si>
  <si>
    <t xml:space="preserve">S3.020.301</t>
  </si>
  <si>
    <t xml:space="preserve">TI-F1-S3-0801B-UAA14</t>
  </si>
  <si>
    <t xml:space="preserve">S3.020.302</t>
  </si>
  <si>
    <t xml:space="preserve">S3.020.304</t>
  </si>
  <si>
    <t xml:space="preserve">TI-F1-S3-0801B-UAA23</t>
  </si>
  <si>
    <t xml:space="preserve">S3.020.305</t>
  </si>
  <si>
    <t xml:space="preserve">TI-F1-S3-0801B-UAA19</t>
  </si>
  <si>
    <t xml:space="preserve">S3.020.306</t>
  </si>
  <si>
    <t xml:space="preserve">TI-F1-S3-0801B-UAA20</t>
  </si>
  <si>
    <t xml:space="preserve">S3.020.310</t>
  </si>
  <si>
    <t xml:space="preserve">TI-F1-S3-0801B-UAA22</t>
  </si>
  <si>
    <t xml:space="preserve">S3.020.311</t>
  </si>
  <si>
    <t xml:space="preserve">TI-F1-S3-0801B-UAA21</t>
  </si>
  <si>
    <t xml:space="preserve">S3.020.315</t>
  </si>
  <si>
    <t xml:space="preserve">TI-F1-S3-0801B-UAA12</t>
  </si>
  <si>
    <t xml:space="preserve">S3.020.319</t>
  </si>
  <si>
    <t xml:space="preserve">TI-F1-S3-0801B-UAA15</t>
  </si>
  <si>
    <t xml:space="preserve">S3.020.334</t>
  </si>
  <si>
    <t xml:space="preserve">TI-F1-S3-0801B-UAA10</t>
  </si>
  <si>
    <t xml:space="preserve">S3.020.336</t>
  </si>
  <si>
    <t xml:space="preserve">TI-F1-S3-0801B-UAA09</t>
  </si>
  <si>
    <t xml:space="preserve">S3.020.337</t>
  </si>
  <si>
    <t xml:space="preserve">TI-F1-S3-0801B-UAA01</t>
  </si>
  <si>
    <t xml:space="preserve">S3.020.338</t>
  </si>
  <si>
    <t xml:space="preserve">TI-F1-S3-0801B-UAA08</t>
  </si>
  <si>
    <t xml:space="preserve">S3.020.340</t>
  </si>
  <si>
    <t xml:space="preserve">TI-F1-S3-0801B-UAA06</t>
  </si>
  <si>
    <t xml:space="preserve">S3.020.341</t>
  </si>
  <si>
    <t xml:space="preserve">TI-F1-S3-0801B-UAA05</t>
  </si>
  <si>
    <t xml:space="preserve">S3.030.305</t>
  </si>
  <si>
    <t xml:space="preserve">TI-F1-S3-0801B-UAA29</t>
  </si>
  <si>
    <t xml:space="preserve">S3.030.310</t>
  </si>
  <si>
    <t xml:space="preserve">TI-F1-S3-0801B-UAA33</t>
  </si>
  <si>
    <t xml:space="preserve">S4.020.401</t>
  </si>
  <si>
    <t xml:space="preserve">TI-F1-S4-0801B-UAA14</t>
  </si>
  <si>
    <t xml:space="preserve">S4.020.402</t>
  </si>
  <si>
    <t xml:space="preserve">S4.020.404</t>
  </si>
  <si>
    <t xml:space="preserve">TI-F1-S4-0801B-UAA23</t>
  </si>
  <si>
    <t xml:space="preserve">S4.020.405</t>
  </si>
  <si>
    <t xml:space="preserve">TI-F1-S4-0801B-UAA19</t>
  </si>
  <si>
    <t xml:space="preserve">S4.020.406</t>
  </si>
  <si>
    <t xml:space="preserve">TI-F1-S4-0801B-UAA20</t>
  </si>
  <si>
    <t xml:space="preserve">S4.020.410</t>
  </si>
  <si>
    <t xml:space="preserve">TI-F1-S4-0801B-UAA22</t>
  </si>
  <si>
    <t xml:space="preserve">S4.020.411</t>
  </si>
  <si>
    <t xml:space="preserve">TI-F1-S4-0801B-UAA21</t>
  </si>
  <si>
    <t xml:space="preserve">S4.020.415</t>
  </si>
  <si>
    <t xml:space="preserve">TI-F1-S4-0801B-UAA12</t>
  </si>
  <si>
    <t xml:space="preserve">S4.020.419</t>
  </si>
  <si>
    <t xml:space="preserve">TI-F1-S4-0801B-UAA15</t>
  </si>
  <si>
    <t xml:space="preserve">S4.020.434</t>
  </si>
  <si>
    <t xml:space="preserve">TI-F1-S4-0801B-UAA10</t>
  </si>
  <si>
    <t xml:space="preserve">S4.020.436</t>
  </si>
  <si>
    <t xml:space="preserve">TI-F1-S4-0801B-UAA09</t>
  </si>
  <si>
    <t xml:space="preserve">S4.020.437</t>
  </si>
  <si>
    <t xml:space="preserve">TI-F1-S4-0801B-UAA01</t>
  </si>
  <si>
    <t xml:space="preserve">S4.020.438</t>
  </si>
  <si>
    <t xml:space="preserve">TI-F1-S4-0801B-UAA08</t>
  </si>
  <si>
    <t xml:space="preserve">S4.020.440</t>
  </si>
  <si>
    <t xml:space="preserve">TI-F1-S4-0801B-UAA06</t>
  </si>
  <si>
    <t xml:space="preserve">S4.020.441</t>
  </si>
  <si>
    <t xml:space="preserve">TI-F1-S4-0801B-UAA05</t>
  </si>
  <si>
    <t xml:space="preserve">S4.030.405</t>
  </si>
  <si>
    <t xml:space="preserve">TI-F1-S4-0801B-UAA29</t>
  </si>
  <si>
    <t xml:space="preserve">S4.030.410</t>
  </si>
  <si>
    <t xml:space="preserve">TI-F1-S4-0801B-UAA33</t>
  </si>
  <si>
    <t xml:space="preserve">S5.020.501</t>
  </si>
  <si>
    <t xml:space="preserve">TI-F1-S5-0801B-UAA14</t>
  </si>
  <si>
    <t xml:space="preserve">S5.020.502</t>
  </si>
  <si>
    <t xml:space="preserve">S5.020.504</t>
  </si>
  <si>
    <t xml:space="preserve">TI-F1-S5-0801B-UAA23</t>
  </si>
  <si>
    <t xml:space="preserve">S5.020.505</t>
  </si>
  <si>
    <t xml:space="preserve">TI-F1-S5-0801B-UAA19</t>
  </si>
  <si>
    <t xml:space="preserve">S5.020.506</t>
  </si>
  <si>
    <t xml:space="preserve">TI-F1-S5-0801B-UAA20</t>
  </si>
  <si>
    <t xml:space="preserve">S5.020.510</t>
  </si>
  <si>
    <t xml:space="preserve">TI-F1-S5-0801B-UAA22</t>
  </si>
  <si>
    <t xml:space="preserve">S5.020.511</t>
  </si>
  <si>
    <t xml:space="preserve">TI-F1-S5-0801B-UAA21</t>
  </si>
  <si>
    <t xml:space="preserve">S5.020.515</t>
  </si>
  <si>
    <t xml:space="preserve">TI-F1-S5-0801B-UAA12</t>
  </si>
  <si>
    <t xml:space="preserve">S5.020.519</t>
  </si>
  <si>
    <t xml:space="preserve">TI-F1-S5-0801B-UAA15</t>
  </si>
  <si>
    <t xml:space="preserve">S5.020.534</t>
  </si>
  <si>
    <t xml:space="preserve">TI-F1-S5-0801B-UAA10</t>
  </si>
  <si>
    <t xml:space="preserve">S5.020.536</t>
  </si>
  <si>
    <t xml:space="preserve">TI-F1-S5-0801B-UAA09</t>
  </si>
  <si>
    <t xml:space="preserve">S5.020.537</t>
  </si>
  <si>
    <t xml:space="preserve">TI-F1-S5-0801B-UAA01</t>
  </si>
  <si>
    <t xml:space="preserve">S5.020.538</t>
  </si>
  <si>
    <t xml:space="preserve">TI-F1-S5-0801B-UAA08</t>
  </si>
  <si>
    <t xml:space="preserve">S5.020.540</t>
  </si>
  <si>
    <t xml:space="preserve">TI-F1-S5-0801B-UAA06</t>
  </si>
  <si>
    <t xml:space="preserve">S5.020.541</t>
  </si>
  <si>
    <t xml:space="preserve">TI-F1-S5-0801B-UAA05</t>
  </si>
  <si>
    <t xml:space="preserve">S5.030.505</t>
  </si>
  <si>
    <t xml:space="preserve">TI-F1-S5-0801B-UAA29</t>
  </si>
  <si>
    <t xml:space="preserve">S5.030.510</t>
  </si>
  <si>
    <t xml:space="preserve">TI-F1-S5-0801B-UAA33</t>
  </si>
  <si>
    <t xml:space="preserve">S6.020.601</t>
  </si>
  <si>
    <t xml:space="preserve">TI-F1-S6-0801B-UAA14</t>
  </si>
  <si>
    <t xml:space="preserve">S6.020.602</t>
  </si>
  <si>
    <t xml:space="preserve">S6.020.604</t>
  </si>
  <si>
    <t xml:space="preserve">TI-F1-S6-0801B-UAA23</t>
  </si>
  <si>
    <t xml:space="preserve">S6.020.605</t>
  </si>
  <si>
    <t xml:space="preserve">TI-F1-S6-0801B-UAA19</t>
  </si>
  <si>
    <t xml:space="preserve">S6.020.606</t>
  </si>
  <si>
    <t xml:space="preserve">TI-F1-S6-0801B-UAA20</t>
  </si>
  <si>
    <t xml:space="preserve">S6.020.610</t>
  </si>
  <si>
    <t xml:space="preserve">TI-F1-S6-0801B-UAA22</t>
  </si>
  <si>
    <t xml:space="preserve">S6.020.611</t>
  </si>
  <si>
    <t xml:space="preserve">TI-F1-S6-0801B-UAA21</t>
  </si>
  <si>
    <t xml:space="preserve">S6.020.615</t>
  </si>
  <si>
    <t xml:space="preserve">TI-F1-S6-0801B-UAA12</t>
  </si>
  <si>
    <t xml:space="preserve">S6.020.619</t>
  </si>
  <si>
    <t xml:space="preserve">TI-F1-S6-0801B-UAA15</t>
  </si>
  <si>
    <t xml:space="preserve">S6.020.634</t>
  </si>
  <si>
    <t xml:space="preserve">TI-F1-S6-0801B-UAA10</t>
  </si>
  <si>
    <t xml:space="preserve">S6.020.636</t>
  </si>
  <si>
    <t xml:space="preserve">TI-F1-S6-0801B-UAA09</t>
  </si>
  <si>
    <t xml:space="preserve">S6.020.637</t>
  </si>
  <si>
    <t xml:space="preserve">TI-F1-S6-0801B-UAA01</t>
  </si>
  <si>
    <t xml:space="preserve">S6.020.638</t>
  </si>
  <si>
    <t xml:space="preserve">TI-F1-S6-0801B-UAA08</t>
  </si>
  <si>
    <t xml:space="preserve">S6.020.640</t>
  </si>
  <si>
    <t xml:space="preserve">TI-F1-S6-0801B-UAA06</t>
  </si>
  <si>
    <t xml:space="preserve">S6.020.641</t>
  </si>
  <si>
    <t xml:space="preserve">TI-F1-S6-0801B-UAA05</t>
  </si>
  <si>
    <t xml:space="preserve">S6.030.605</t>
  </si>
  <si>
    <t xml:space="preserve">TI-F1-S6-0801B-UAA29</t>
  </si>
  <si>
    <t xml:space="preserve">S6.030.610</t>
  </si>
  <si>
    <t xml:space="preserve">TI-F1-S6-0801B-UAA33</t>
  </si>
  <si>
    <t xml:space="preserve">S7.020.701</t>
  </si>
  <si>
    <t xml:space="preserve">TI-F1-S7-0801B-UAA14</t>
  </si>
  <si>
    <t xml:space="preserve">S7.020.702</t>
  </si>
  <si>
    <t xml:space="preserve">S7.020.704</t>
  </si>
  <si>
    <t xml:space="preserve">TI-F1-S7-0801B-UAA23</t>
  </si>
  <si>
    <t xml:space="preserve">S7.020.705</t>
  </si>
  <si>
    <t xml:space="preserve">TI-F1-S7-0801B-UAA19</t>
  </si>
  <si>
    <t xml:space="preserve">S7.020.706</t>
  </si>
  <si>
    <t xml:space="preserve">TI-F1-S7-0801B-UAA20</t>
  </si>
  <si>
    <t xml:space="preserve">S7.020.710</t>
  </si>
  <si>
    <t xml:space="preserve">TI-F1-S7-0801B-UAA22</t>
  </si>
  <si>
    <t xml:space="preserve">S7.020.711</t>
  </si>
  <si>
    <t xml:space="preserve">TI-F1-S7-0801B-UAA21</t>
  </si>
  <si>
    <t xml:space="preserve">S7.020.715</t>
  </si>
  <si>
    <t xml:space="preserve">TI-F1-S7-0801B-UAA12</t>
  </si>
  <si>
    <t xml:space="preserve">S7.020.719</t>
  </si>
  <si>
    <t xml:space="preserve">TI-F1-S7-0801B-UAA15</t>
  </si>
  <si>
    <t xml:space="preserve">S7.020.734</t>
  </si>
  <si>
    <t xml:space="preserve">TI-F1-S7-0801B-UAA10</t>
  </si>
  <si>
    <t xml:space="preserve">S7.020.736</t>
  </si>
  <si>
    <t xml:space="preserve">TI-F1-S7-0801B-UAA09</t>
  </si>
  <si>
    <t xml:space="preserve">S7.020.737</t>
  </si>
  <si>
    <t xml:space="preserve">TI-F1-S7-0801B-UAA01</t>
  </si>
  <si>
    <t xml:space="preserve">S7.020.738</t>
  </si>
  <si>
    <t xml:space="preserve">TI-F1-S7-0801B-UAA08</t>
  </si>
  <si>
    <t xml:space="preserve">S7.020.740</t>
  </si>
  <si>
    <t xml:space="preserve">TI-F1-S7-0801B-UAA06</t>
  </si>
  <si>
    <t xml:space="preserve">S7.020.741</t>
  </si>
  <si>
    <t xml:space="preserve">TI-F1-S7-0801B-UAA05</t>
  </si>
  <si>
    <t xml:space="preserve">S7.030.705</t>
  </si>
  <si>
    <t xml:space="preserve">TI-F1-S7-0801B-UAA29</t>
  </si>
  <si>
    <t xml:space="preserve">S7.030.710</t>
  </si>
  <si>
    <t xml:space="preserve">TI-F1-S7-0801B-UAA33</t>
  </si>
  <si>
    <t xml:space="preserve">S8.020.801</t>
  </si>
  <si>
    <t xml:space="preserve">TI-F1-S8-0801B-UAA14</t>
  </si>
  <si>
    <t xml:space="preserve">S8.020.802</t>
  </si>
  <si>
    <t xml:space="preserve">S8.020.804</t>
  </si>
  <si>
    <t xml:space="preserve">TI-F1-S8-0801B-UAA23</t>
  </si>
  <si>
    <t xml:space="preserve">S8.020.836</t>
  </si>
  <si>
    <t xml:space="preserve">TI-F1-S8-0801B-UAA09</t>
  </si>
  <si>
    <t xml:space="preserve">S8.020.837</t>
  </si>
  <si>
    <t xml:space="preserve">TI-F1-S8-0801B-UAA01</t>
  </si>
  <si>
    <t xml:space="preserve">S8.020.838</t>
  </si>
  <si>
    <t xml:space="preserve">TI-F1-S8-0801B-UAA08</t>
  </si>
  <si>
    <t xml:space="preserve">S8.020.840</t>
  </si>
  <si>
    <t xml:space="preserve">TI-F1-S8-0801B-UAA06</t>
  </si>
  <si>
    <t xml:space="preserve">S8.020.841</t>
  </si>
  <si>
    <t xml:space="preserve">TI-F1-S8-0801B-UAA05</t>
  </si>
  <si>
    <t xml:space="preserve">S8.030.805</t>
  </si>
  <si>
    <t xml:space="preserve">TI-F1-S8-0801B-UAA29</t>
  </si>
  <si>
    <t xml:space="preserve">S8.030.810</t>
  </si>
  <si>
    <t xml:space="preserve">TI-F1-S8-0801B-UAA33</t>
  </si>
  <si>
    <t xml:space="preserve">Zone type 05</t>
  </si>
  <si>
    <t xml:space="preserve">S1.020.113</t>
  </si>
  <si>
    <t xml:space="preserve">TI-F1-S1-0801B-UAA27</t>
  </si>
  <si>
    <t xml:space="preserve">05</t>
  </si>
  <si>
    <t xml:space="preserve">S1.020.114</t>
  </si>
  <si>
    <t xml:space="preserve">TI-F1-S1-0801B-UAA26</t>
  </si>
  <si>
    <t xml:space="preserve">S2.020.213</t>
  </si>
  <si>
    <t xml:space="preserve">TI-F1-S2-0801B-UAA27</t>
  </si>
  <si>
    <t xml:space="preserve">S2.020.214</t>
  </si>
  <si>
    <t xml:space="preserve">TI-F1-S2-0801B-UAA26</t>
  </si>
  <si>
    <t xml:space="preserve">S3.020.313</t>
  </si>
  <si>
    <t xml:space="preserve">TI-F1-S3-0801B-UAA27</t>
  </si>
  <si>
    <t xml:space="preserve">S3.020.314</t>
  </si>
  <si>
    <t xml:space="preserve">TI-F1-S3-0801B-UAA26</t>
  </si>
  <si>
    <t xml:space="preserve">S4.020.413</t>
  </si>
  <si>
    <t xml:space="preserve">TI-F1-S4-0801B-UAA27</t>
  </si>
  <si>
    <t xml:space="preserve">S4.020.414</t>
  </si>
  <si>
    <t xml:space="preserve">TI-F1-S4-0801B-UAA26</t>
  </si>
  <si>
    <t xml:space="preserve">S5.020.513</t>
  </si>
  <si>
    <t xml:space="preserve">TI-F1-S5-0801B-UAA27</t>
  </si>
  <si>
    <t xml:space="preserve">S5.020.514</t>
  </si>
  <si>
    <t xml:space="preserve">TI-F1-S5-0801B-UAA26</t>
  </si>
  <si>
    <t xml:space="preserve">S6.020.613</t>
  </si>
  <si>
    <t xml:space="preserve">TI-F1-S6-0801B-UAA27</t>
  </si>
  <si>
    <t xml:space="preserve">S6.020.614</t>
  </si>
  <si>
    <t xml:space="preserve">TI-F1-S6-0801B-UAA26</t>
  </si>
  <si>
    <t xml:space="preserve">S7.020.713</t>
  </si>
  <si>
    <t xml:space="preserve">TI-F1-S7-0801B-UAA27</t>
  </si>
  <si>
    <t xml:space="preserve">S7.020.714</t>
  </si>
  <si>
    <t xml:space="preserve">TI-F1-S7-0801B-UAA26</t>
  </si>
  <si>
    <t xml:space="preserve">S8.020.813</t>
  </si>
  <si>
    <t xml:space="preserve">TI-F1-S8-0801B-UAA27</t>
  </si>
  <si>
    <t xml:space="preserve">S8.020.814</t>
  </si>
  <si>
    <t xml:space="preserve">TI-F1-S8-0801B-UAA26</t>
  </si>
  <si>
    <t xml:space="preserve">Zone type 06</t>
  </si>
  <si>
    <t xml:space="preserve">A2.030.020</t>
  </si>
  <si>
    <t xml:space="preserve">TI-F1-A2-0801B-UAA46</t>
  </si>
  <si>
    <t xml:space="preserve">06</t>
  </si>
  <si>
    <t xml:space="preserve">A2.030.033</t>
  </si>
  <si>
    <t xml:space="preserve">Zone type 07</t>
  </si>
  <si>
    <t xml:space="preserve">A1.020.001</t>
  </si>
  <si>
    <t xml:space="preserve">TI-F1-A1-0801B-UAA20</t>
  </si>
  <si>
    <t xml:space="preserve">07</t>
  </si>
  <si>
    <t xml:space="preserve">A1.020.008</t>
  </si>
  <si>
    <t xml:space="preserve">TI-F1-A1-0801B-UAA18</t>
  </si>
  <si>
    <t xml:space="preserve">A1.020.010</t>
  </si>
  <si>
    <t xml:space="preserve">TI-F1-A1-0801B-UAA19</t>
  </si>
  <si>
    <t xml:space="preserve">A1.020.086</t>
  </si>
  <si>
    <t xml:space="preserve">TI-F1-A1-0801B-UAA23</t>
  </si>
  <si>
    <t xml:space="preserve">A1.020.087</t>
  </si>
  <si>
    <t xml:space="preserve">TI-F1-A1-0801B-UAA25</t>
  </si>
  <si>
    <t xml:space="preserve">A2.020.008</t>
  </si>
  <si>
    <t xml:space="preserve">TI-F1-A2-0801B-UAA15</t>
  </si>
  <si>
    <t xml:space="preserve">A2.020.020</t>
  </si>
  <si>
    <t xml:space="preserve">TI-F1-A2-0801B-UAA14</t>
  </si>
  <si>
    <t xml:space="preserve">A2.020.057</t>
  </si>
  <si>
    <t xml:space="preserve">TI-F1-A2-0801B-UAA16</t>
  </si>
  <si>
    <t xml:space="preserve">S1.020.112</t>
  </si>
  <si>
    <t xml:space="preserve">TI-F1-S1-0801B-UAA25</t>
  </si>
  <si>
    <t xml:space="preserve">S1.020.120</t>
  </si>
  <si>
    <t xml:space="preserve">TI-F1-S1-0801B-UAA24</t>
  </si>
  <si>
    <t xml:space="preserve">S1.020.128</t>
  </si>
  <si>
    <t xml:space="preserve">TI-F1-S1-0801B-UAA28</t>
  </si>
  <si>
    <t xml:space="preserve">S2.020.212</t>
  </si>
  <si>
    <t xml:space="preserve">TI-F1-S2-0801B-UAA25</t>
  </si>
  <si>
    <t xml:space="preserve">S2.020.220</t>
  </si>
  <si>
    <t xml:space="preserve">TI-F1-S2-0801B-UAA24</t>
  </si>
  <si>
    <t xml:space="preserve">S2.020.228</t>
  </si>
  <si>
    <t xml:space="preserve">TI-F1-S2-0801B-UAA28</t>
  </si>
  <si>
    <t xml:space="preserve">S3.020.312</t>
  </si>
  <si>
    <t xml:space="preserve">TI-F1-S3-0801B-UAA25</t>
  </si>
  <si>
    <t xml:space="preserve">S3.020.320</t>
  </si>
  <si>
    <t xml:space="preserve">TI-F1-S3-0801B-UAA24</t>
  </si>
  <si>
    <t xml:space="preserve">S3.020.328</t>
  </si>
  <si>
    <t xml:space="preserve">TI-F1-S3-0801B-UAA28</t>
  </si>
  <si>
    <t xml:space="preserve">S4.020.412</t>
  </si>
  <si>
    <t xml:space="preserve">TI-F1-S4-0801B-UAA25</t>
  </si>
  <si>
    <t xml:space="preserve">S4.020.420</t>
  </si>
  <si>
    <t xml:space="preserve">TI-F1-S4-0801B-UAA24</t>
  </si>
  <si>
    <t xml:space="preserve">S4.020.428</t>
  </si>
  <si>
    <t xml:space="preserve">TI-F1-S4-0801B-UAA28</t>
  </si>
  <si>
    <t xml:space="preserve">S5.020.512</t>
  </si>
  <si>
    <t xml:space="preserve">TI-F1-S5-0801B-UAA25</t>
  </si>
  <si>
    <t xml:space="preserve">S5.020.520</t>
  </si>
  <si>
    <t xml:space="preserve">TI-F1-S5-0801B-UAA24</t>
  </si>
  <si>
    <t xml:space="preserve">S5.020.528</t>
  </si>
  <si>
    <t xml:space="preserve">TI-F1-S5-0801B-UAA28</t>
  </si>
  <si>
    <t xml:space="preserve">S6.020.612</t>
  </si>
  <si>
    <t xml:space="preserve">TI-F1-S6-0801B-UAA25</t>
  </si>
  <si>
    <t xml:space="preserve">S6.020.620</t>
  </si>
  <si>
    <t xml:space="preserve">TI-F1-S6-0801B-UAA24</t>
  </si>
  <si>
    <t xml:space="preserve">S6.020.628</t>
  </si>
  <si>
    <t xml:space="preserve">TI-F1-S6-0801B-UAA28</t>
  </si>
  <si>
    <t xml:space="preserve">S7.020.712</t>
  </si>
  <si>
    <t xml:space="preserve">TI-F1-S7-0801B-UAA25</t>
  </si>
  <si>
    <t xml:space="preserve">S7.020.720</t>
  </si>
  <si>
    <t xml:space="preserve">TI-F1-S7-0801B-UAA24</t>
  </si>
  <si>
    <t xml:space="preserve">S7.020.728</t>
  </si>
  <si>
    <t xml:space="preserve">TI-F1-S7-0801B-UAA28</t>
  </si>
  <si>
    <t xml:space="preserve">S8.020.812</t>
  </si>
  <si>
    <t xml:space="preserve">TI-F1-S8-0801B-UAA25</t>
  </si>
  <si>
    <t xml:space="preserve">S8.020.820</t>
  </si>
  <si>
    <t xml:space="preserve">TI-F1-S8-0801B-UAA24</t>
  </si>
  <si>
    <t xml:space="preserve">S8.020.828</t>
  </si>
  <si>
    <t xml:space="preserve">TI-F1-S8-0801B-UAA28</t>
  </si>
  <si>
    <t xml:space="preserve">Zone type 08</t>
  </si>
  <si>
    <t xml:space="preserve">S1.020.100</t>
  </si>
  <si>
    <t xml:space="preserve">TI-F1-S1-0801B-UAA18</t>
  </si>
  <si>
    <t xml:space="preserve">08</t>
  </si>
  <si>
    <t xml:space="preserve">S2.020.200</t>
  </si>
  <si>
    <t xml:space="preserve">TI-F1-S2-0801B-UAA18</t>
  </si>
  <si>
    <t xml:space="preserve">S3.020.300</t>
  </si>
  <si>
    <t xml:space="preserve">TI-F1-S3-0801B-UAA18</t>
  </si>
  <si>
    <t xml:space="preserve">S4.020.400</t>
  </si>
  <si>
    <t xml:space="preserve">TI-F1-S4-0801B-UAA18</t>
  </si>
  <si>
    <t xml:space="preserve">S5.020.500</t>
  </si>
  <si>
    <t xml:space="preserve">TI-F1-S5-0801B-UAA18</t>
  </si>
  <si>
    <t xml:space="preserve">S6.020.600</t>
  </si>
  <si>
    <t xml:space="preserve">TI-F1-S6-0801B-UAA18</t>
  </si>
  <si>
    <t xml:space="preserve">S7.020.700</t>
  </si>
  <si>
    <t xml:space="preserve">TI-F1-S7-0801B-UAA18</t>
  </si>
  <si>
    <t xml:space="preserve">S8.020.800</t>
  </si>
  <si>
    <t xml:space="preserve">TI-F1-S8-0801B-UAA18</t>
  </si>
  <si>
    <t xml:space="preserve">Zone type 09</t>
  </si>
  <si>
    <t xml:space="preserve">A1.030.038</t>
  </si>
  <si>
    <t xml:space="preserve">TI-F1-A1-0801B-UAA43</t>
  </si>
  <si>
    <t xml:space="preserve">B</t>
  </si>
  <si>
    <t xml:space="preserve">09</t>
  </si>
  <si>
    <t xml:space="preserve">A1.030.039</t>
  </si>
  <si>
    <t xml:space="preserve">A2.030.030</t>
  </si>
  <si>
    <t xml:space="preserve">TI-F1-A2-0801B-UAA44</t>
  </si>
  <si>
    <t xml:space="preserve">A2.030.031</t>
  </si>
  <si>
    <t xml:space="preserve">Zone type 10</t>
  </si>
  <si>
    <t xml:space="preserve">A1.030.028</t>
  </si>
  <si>
    <t xml:space="preserve">TI-F1-A1-0801B-UAA63</t>
  </si>
  <si>
    <t xml:space="preserve">10</t>
  </si>
  <si>
    <t xml:space="preserve">A1.030.029</t>
  </si>
  <si>
    <t xml:space="preserve">TI-F1-A1-0801B-UAA62</t>
  </si>
  <si>
    <t xml:space="preserve">A1.030.030</t>
  </si>
  <si>
    <t xml:space="preserve">TI-F1-A1-0801B-UAA61</t>
  </si>
  <si>
    <t xml:space="preserve">A1.030.034</t>
  </si>
  <si>
    <t xml:space="preserve">TI-F1-A1-0801B-UAA37</t>
  </si>
  <si>
    <t xml:space="preserve">A1.030.035</t>
  </si>
  <si>
    <t xml:space="preserve">TI-F1-A1-0801B-UAA39</t>
  </si>
  <si>
    <t xml:space="preserve">A1.030.036</t>
  </si>
  <si>
    <t xml:space="preserve">TI-F1-A1-0801B-UAA38</t>
  </si>
  <si>
    <t xml:space="preserve">A1.030.037</t>
  </si>
  <si>
    <t xml:space="preserve">TI-F1-A1-0801B-UAA40</t>
  </si>
  <si>
    <t xml:space="preserve">A1.030.040</t>
  </si>
  <si>
    <t xml:space="preserve">TI-F1-A1-0801B-UAA42</t>
  </si>
  <si>
    <t xml:space="preserve">A1.030.041</t>
  </si>
  <si>
    <t xml:space="preserve">TI-F1-A1-0801B-UAA45</t>
  </si>
  <si>
    <t xml:space="preserve">A1.030.042</t>
  </si>
  <si>
    <t xml:space="preserve">TI-F1-A1-0801B-UAA46</t>
  </si>
  <si>
    <t xml:space="preserve">A1.030.043</t>
  </si>
  <si>
    <t xml:space="preserve">TI-F1-A1-0801B-UAA49</t>
  </si>
  <si>
    <t xml:space="preserve">A1.030.044</t>
  </si>
  <si>
    <t xml:space="preserve">TI-F1-A1-0801B-UAA52</t>
  </si>
  <si>
    <t xml:space="preserve">A1.030.045</t>
  </si>
  <si>
    <t xml:space="preserve">TI-F1-A1-0801B-UAA53</t>
  </si>
  <si>
    <t xml:space="preserve">A2.030.001</t>
  </si>
  <si>
    <t xml:space="preserve">TI-F1-A2-0801B-UAA57</t>
  </si>
  <si>
    <t xml:space="preserve">Tilkommet se PN551</t>
  </si>
  <si>
    <t xml:space="preserve">A2.030.027</t>
  </si>
  <si>
    <t xml:space="preserve">TI-F1-A2-0801B-UAA50</t>
  </si>
  <si>
    <t xml:space="preserve">A2.030.028</t>
  </si>
  <si>
    <t xml:space="preserve">TI-F1-A2-0801B-UAA49</t>
  </si>
  <si>
    <t xml:space="preserve">A2.030.034</t>
  </si>
  <si>
    <t xml:space="preserve">TI-F1-A2-0801B-UAA37</t>
  </si>
  <si>
    <t xml:space="preserve">A2.030.038</t>
  </si>
  <si>
    <t xml:space="preserve">TI-F1-A2-0801B-UAA41</t>
  </si>
  <si>
    <t xml:space="preserve">A2.030.039</t>
  </si>
  <si>
    <t xml:space="preserve">TI-F1-A2-0801B-UAA43</t>
  </si>
  <si>
    <t xml:space="preserve">A2.030.040</t>
  </si>
  <si>
    <t xml:space="preserve">TI-F1-A2-0801B-UAA39</t>
  </si>
  <si>
    <t xml:space="preserve">Zone type 11</t>
  </si>
  <si>
    <t xml:space="preserve">A1.020.052</t>
  </si>
  <si>
    <t xml:space="preserve">TI-F1-A1-0801B-UAA07</t>
  </si>
  <si>
    <t xml:space="preserve">11</t>
  </si>
  <si>
    <t xml:space="preserve">Zone type 12</t>
  </si>
  <si>
    <t xml:space="preserve">A1.020.105</t>
  </si>
  <si>
    <t xml:space="preserve">TI-F1-A1-0801B-UAA12</t>
  </si>
  <si>
    <t xml:space="preserve">12</t>
  </si>
  <si>
    <t xml:space="preserve">Bruger PIR i</t>
  </si>
  <si>
    <t xml:space="preserve">A2.030.006</t>
  </si>
  <si>
    <t xml:space="preserve">TI-F1-A2-0801B-UAA29</t>
  </si>
  <si>
    <t xml:space="preserve">gang</t>
  </si>
  <si>
    <t xml:space="preserve">S1.020.144</t>
  </si>
  <si>
    <t xml:space="preserve">TI-F1-S1-0801B-UAA04</t>
  </si>
  <si>
    <t xml:space="preserve">S2.020.244</t>
  </si>
  <si>
    <t xml:space="preserve">TI-F1-S2-0801B-UAA04</t>
  </si>
  <si>
    <t xml:space="preserve">S3.020.344</t>
  </si>
  <si>
    <t xml:space="preserve">TI-F1-S3-0801B-UAA04</t>
  </si>
  <si>
    <t xml:space="preserve">S4.020.444</t>
  </si>
  <si>
    <t xml:space="preserve">TI-F1-S4-0801B-UAA04</t>
  </si>
  <si>
    <t xml:space="preserve">S5.020.544</t>
  </si>
  <si>
    <t xml:space="preserve">TI-F1-S5-0801B-UAA04</t>
  </si>
  <si>
    <t xml:space="preserve">S6.020.644</t>
  </si>
  <si>
    <t xml:space="preserve">TI-F1-S6-0801B-UAA04</t>
  </si>
  <si>
    <t xml:space="preserve">S7.020.744</t>
  </si>
  <si>
    <t xml:space="preserve">TI-F1-S7-0801B-UAA04</t>
  </si>
  <si>
    <t xml:space="preserve">S8.020.844</t>
  </si>
  <si>
    <t xml:space="preserve">TI-F1-S8-0801B-UAA04</t>
  </si>
  <si>
    <t xml:space="preserve">Zone type 13</t>
  </si>
  <si>
    <t xml:space="preserve">A1.030.011</t>
  </si>
  <si>
    <t xml:space="preserve">TI-F1-A1-0801B-UAA28</t>
  </si>
  <si>
    <t xml:space="preserve">13</t>
  </si>
  <si>
    <t xml:space="preserve">A1.030.031</t>
  </si>
  <si>
    <t xml:space="preserve">TI-F1-A1-0801B-UAA64</t>
  </si>
  <si>
    <t xml:space="preserve">A1.030.032</t>
  </si>
  <si>
    <t xml:space="preserve">TI-F1-A1-0801B-UAA58</t>
  </si>
  <si>
    <t xml:space="preserve">TI-F1-A1-0801B-UAA44</t>
  </si>
  <si>
    <t xml:space="preserve">A1.030.046</t>
  </si>
  <si>
    <t xml:space="preserve">TI-F1-A1-0801B-UAA55</t>
  </si>
  <si>
    <t xml:space="preserve">A1.030.047</t>
  </si>
  <si>
    <t xml:space="preserve">TI-F1-A1-0801B-UAA51</t>
  </si>
  <si>
    <t xml:space="preserve">A1.030.048</t>
  </si>
  <si>
    <t xml:space="preserve">TI-F1-A1-0801B-UAA48</t>
  </si>
  <si>
    <t xml:space="preserve">TI-F1-A1-0801B-UAA59</t>
  </si>
  <si>
    <t xml:space="preserve">A2.020.024</t>
  </si>
  <si>
    <t xml:space="preserve">TI-F1-A2-0801B-UAA24</t>
  </si>
  <si>
    <t xml:space="preserve">A2.030.010</t>
  </si>
  <si>
    <t xml:space="preserve">TI-F1-A2-0801B-UAA28</t>
  </si>
  <si>
    <t xml:space="preserve">A2.030.026</t>
  </si>
  <si>
    <t xml:space="preserve">TI-F1-A2-0801B-UAA48</t>
  </si>
  <si>
    <t xml:space="preserve">A2.030.036</t>
  </si>
  <si>
    <t xml:space="preserve">TI-F1-A2-0801B-UAA33</t>
  </si>
  <si>
    <t xml:space="preserve">A2.030.037</t>
  </si>
  <si>
    <t xml:space="preserve">TI-F1-A2-0801B-UAA40</t>
  </si>
  <si>
    <t xml:space="preserve">A2.030.042</t>
  </si>
  <si>
    <t xml:space="preserve">TI-F1-A2-0801B-UAA34</t>
  </si>
  <si>
    <t xml:space="preserve">TI-F1-S1-0801B-UAA13</t>
  </si>
  <si>
    <t xml:space="preserve">S1.020.118</t>
  </si>
  <si>
    <t xml:space="preserve">TI-F1-S1-0801B-UAA16</t>
  </si>
  <si>
    <t xml:space="preserve">S1.030.104</t>
  </si>
  <si>
    <t xml:space="preserve">TI-F1-S1-0801B-UAA30</t>
  </si>
  <si>
    <t xml:space="preserve">S1.030.105</t>
  </si>
  <si>
    <t xml:space="preserve">S1.030.108</t>
  </si>
  <si>
    <t xml:space="preserve">TI-F1-S1-0801B-UAA35</t>
  </si>
  <si>
    <t xml:space="preserve">S1.030.109</t>
  </si>
  <si>
    <t xml:space="preserve">TI-F1-S1-0801B-UAA34</t>
  </si>
  <si>
    <t xml:space="preserve">S2.020.202</t>
  </si>
  <si>
    <t xml:space="preserve">TI-F1-S2-0801B-UAA13</t>
  </si>
  <si>
    <t xml:space="preserve">S2.020.218</t>
  </si>
  <si>
    <t xml:space="preserve">TI-F1-S2-0801B-UAA16</t>
  </si>
  <si>
    <t xml:space="preserve">S2.030.204</t>
  </si>
  <si>
    <t xml:space="preserve">TI-F1-S2-0801B-UAA30</t>
  </si>
  <si>
    <t xml:space="preserve">S2.030.208</t>
  </si>
  <si>
    <t xml:space="preserve">TI-F1-S2-0801B-UAA35</t>
  </si>
  <si>
    <t xml:space="preserve">S2.030.209</t>
  </si>
  <si>
    <t xml:space="preserve">TI-F1-S2-0801B-UAA34</t>
  </si>
  <si>
    <t xml:space="preserve">TI-F1-S3-0801B-UAA13</t>
  </si>
  <si>
    <t xml:space="preserve">S3.020.318</t>
  </si>
  <si>
    <t xml:space="preserve">TI-F1-S3-0801B-UAA16</t>
  </si>
  <si>
    <t xml:space="preserve">S3.030.304</t>
  </si>
  <si>
    <t xml:space="preserve">TI-F1-S3-0801B-UAA30</t>
  </si>
  <si>
    <t xml:space="preserve">S3.030.308</t>
  </si>
  <si>
    <t xml:space="preserve">TI-F1-S3-0801B-UAA35</t>
  </si>
  <si>
    <t xml:space="preserve">S3.030.309</t>
  </si>
  <si>
    <t xml:space="preserve">TI-F1-S3-0801B-UAA34</t>
  </si>
  <si>
    <t xml:space="preserve">TI-F1-S4-0801B-UAA13</t>
  </si>
  <si>
    <t xml:space="preserve">S4.020.418</t>
  </si>
  <si>
    <t xml:space="preserve">TI-F1-S4-0801B-UAA16</t>
  </si>
  <si>
    <t xml:space="preserve">S4.030.404</t>
  </si>
  <si>
    <t xml:space="preserve">TI-F1-S4-0801B-UAA30</t>
  </si>
  <si>
    <t xml:space="preserve">S4.030.408</t>
  </si>
  <si>
    <t xml:space="preserve">TI-F1-S4-0801B-UAA35</t>
  </si>
  <si>
    <t xml:space="preserve">S4.030.409</t>
  </si>
  <si>
    <t xml:space="preserve">TI-F1-S4-0801B-UAA34</t>
  </si>
  <si>
    <t xml:space="preserve">TI-F1-S5-0801B-UAA13</t>
  </si>
  <si>
    <t xml:space="preserve">S5.020.518</t>
  </si>
  <si>
    <t xml:space="preserve">TI-F1-S5-0801B-UAA16</t>
  </si>
  <si>
    <t xml:space="preserve">S5.030.504</t>
  </si>
  <si>
    <t xml:space="preserve">TI-F1-S5-0801B-UAA30</t>
  </si>
  <si>
    <t xml:space="preserve">S5.030.508</t>
  </si>
  <si>
    <t xml:space="preserve">TI-F1-S5-0801B-UAA35</t>
  </si>
  <si>
    <t xml:space="preserve">S5.030.509</t>
  </si>
  <si>
    <t xml:space="preserve">TI-F1-S5-0801B-UAA34</t>
  </si>
  <si>
    <t xml:space="preserve">TI-F1-S6-0801B-UAA13</t>
  </si>
  <si>
    <t xml:space="preserve">S6.020.618</t>
  </si>
  <si>
    <t xml:space="preserve">TI-F1-S6-0801B-UAA16</t>
  </si>
  <si>
    <t xml:space="preserve">S6.030.604</t>
  </si>
  <si>
    <t xml:space="preserve">TI-F1-S6-0801B-UAA30</t>
  </si>
  <si>
    <t xml:space="preserve">S6.030.608</t>
  </si>
  <si>
    <t xml:space="preserve">TI-F1-S6-0801B-UAA35</t>
  </si>
  <si>
    <t xml:space="preserve">S6.030.609</t>
  </si>
  <si>
    <t xml:space="preserve">TI-F1-S6-0801B-UAA34</t>
  </si>
  <si>
    <t xml:space="preserve">TI-F1-S7-0801B-UAA13</t>
  </si>
  <si>
    <t xml:space="preserve">S7.020.718</t>
  </si>
  <si>
    <t xml:space="preserve">TI-F1-S7-0801B-UAA16</t>
  </si>
  <si>
    <t xml:space="preserve">S7.030.704</t>
  </si>
  <si>
    <t xml:space="preserve">TI-F1-S7-0801B-UAA30</t>
  </si>
  <si>
    <t xml:space="preserve">S7.030.708</t>
  </si>
  <si>
    <t xml:space="preserve">TI-F1-S7-0801B-UAA35</t>
  </si>
  <si>
    <t xml:space="preserve">S7.030.709</t>
  </si>
  <si>
    <t xml:space="preserve">TI-F1-S7-0801B-UAA34</t>
  </si>
  <si>
    <t xml:space="preserve">TI-F1-S8-0801B-UAA13</t>
  </si>
  <si>
    <t xml:space="preserve">S8.020.818</t>
  </si>
  <si>
    <t xml:space="preserve">TI-F1-S8-0801B-UAA16</t>
  </si>
  <si>
    <t xml:space="preserve">S8.030.804</t>
  </si>
  <si>
    <t xml:space="preserve">TI-F1-S8-0801B-UAA30</t>
  </si>
  <si>
    <t xml:space="preserve">S8.030.808</t>
  </si>
  <si>
    <t xml:space="preserve">TI-F1-S8-0801B-UAA35</t>
  </si>
  <si>
    <t xml:space="preserve">S8.030.809</t>
  </si>
  <si>
    <t xml:space="preserve">TI-F1-S8-0801B-UAA34</t>
  </si>
  <si>
    <t xml:space="preserve">Zone type 14</t>
  </si>
  <si>
    <t xml:space="preserve">A1.030.014</t>
  </si>
  <si>
    <t xml:space="preserve">TI-F1-A1-0801B-UAA31</t>
  </si>
  <si>
    <t xml:space="preserve">14</t>
  </si>
  <si>
    <t xml:space="preserve">A1.030.015</t>
  </si>
  <si>
    <t xml:space="preserve">TI-F1-A1-0801B-UAA32</t>
  </si>
  <si>
    <t xml:space="preserve">A1.030.016</t>
  </si>
  <si>
    <t xml:space="preserve">TI-F1-A1-0801B-UAA33</t>
  </si>
  <si>
    <t xml:space="preserve">A1.030.017</t>
  </si>
  <si>
    <t xml:space="preserve">TI-F1-A1-0801B-UAA34</t>
  </si>
  <si>
    <t xml:space="preserve">Zone type 15</t>
  </si>
  <si>
    <t xml:space="preserve">A1.020.050</t>
  </si>
  <si>
    <t xml:space="preserve">TI-F1-A1-0801B-UAA05</t>
  </si>
  <si>
    <t xml:space="preserve">B+</t>
  </si>
  <si>
    <t xml:space="preserve">15</t>
  </si>
  <si>
    <t xml:space="preserve">A1.020.083</t>
  </si>
  <si>
    <t xml:space="preserve">TI-F1-A1-0801B-UAA24</t>
  </si>
  <si>
    <t xml:space="preserve">A1.030.027-1</t>
  </si>
  <si>
    <t xml:space="preserve">TI-F1-A1-0801B-UAA65</t>
  </si>
  <si>
    <t xml:space="preserve">A1.030.027-2</t>
  </si>
  <si>
    <t xml:space="preserve">TI-F1-A1-0801B-UAA60</t>
  </si>
  <si>
    <t xml:space="preserve">A1.030.027-3</t>
  </si>
  <si>
    <t xml:space="preserve">TI-F1-A1-0801B-UAA41</t>
  </si>
  <si>
    <t xml:space="preserve">A1.030.050</t>
  </si>
  <si>
    <t xml:space="preserve">TI-F1-A1-0801B-UAA50</t>
  </si>
  <si>
    <t xml:space="preserve">A1.030.051</t>
  </si>
  <si>
    <t xml:space="preserve">TI-F1-A1-0801B-UAA56</t>
  </si>
  <si>
    <t xml:space="preserve">A2.020.023</t>
  </si>
  <si>
    <t xml:space="preserve">TI-F1-A2-0801B-UAA23</t>
  </si>
  <si>
    <t xml:space="preserve">A2.020.028</t>
  </si>
  <si>
    <t xml:space="preserve">TI-F1-A2-0801B-UAA22</t>
  </si>
  <si>
    <t xml:space="preserve">TI-F1-A2-0801B-UAA20</t>
  </si>
  <si>
    <t xml:space="preserve">A2.030.035-1</t>
  </si>
  <si>
    <t xml:space="preserve">TI-F1-A2-0801B-UAA42</t>
  </si>
  <si>
    <t xml:space="preserve">A2.030.035-2</t>
  </si>
  <si>
    <t xml:space="preserve">TI-F1-A2-0801B-UAA35</t>
  </si>
  <si>
    <t xml:space="preserve">A2.030.035-3</t>
  </si>
  <si>
    <t xml:space="preserve">TI-F1-A2-0801B-UAA52</t>
  </si>
  <si>
    <t xml:space="preserve">S1.030.101</t>
  </si>
  <si>
    <t xml:space="preserve">TI-F1-S1-0801B-UAA31</t>
  </si>
  <si>
    <t xml:space="preserve">S1.030.103</t>
  </si>
  <si>
    <t xml:space="preserve">TI-F1-S1-0801B-UAA32</t>
  </si>
  <si>
    <t xml:space="preserve">S2.030.201</t>
  </si>
  <si>
    <t xml:space="preserve">TI-F1-S2-0801B-UAA31</t>
  </si>
  <si>
    <t xml:space="preserve">S2.030.203</t>
  </si>
  <si>
    <t xml:space="preserve">TI-F1-S2-0801B-UAA32</t>
  </si>
  <si>
    <t xml:space="preserve">S3.030.301</t>
  </si>
  <si>
    <t xml:space="preserve">TI-F1-S3-0801B-UAA31</t>
  </si>
  <si>
    <t xml:space="preserve">S3.030.303</t>
  </si>
  <si>
    <t xml:space="preserve">TI-F1-S3-0801B-UAA32</t>
  </si>
  <si>
    <t xml:space="preserve">S4.030.401</t>
  </si>
  <si>
    <t xml:space="preserve">TI-F1-S4-0801B-UAA31</t>
  </si>
  <si>
    <t xml:space="preserve">S4.030.403</t>
  </si>
  <si>
    <t xml:space="preserve">TI-F1-S4-0801B-UAA32</t>
  </si>
  <si>
    <t xml:space="preserve">S5.030.501</t>
  </si>
  <si>
    <t xml:space="preserve">TI-F1-S5-0801B-UAA31</t>
  </si>
  <si>
    <t xml:space="preserve">S5.030.503</t>
  </si>
  <si>
    <t xml:space="preserve">TI-F1-S5-0801B-UAA32</t>
  </si>
  <si>
    <t xml:space="preserve">S6.030.601</t>
  </si>
  <si>
    <t xml:space="preserve">TI-F1-S6-0801B-UAA31</t>
  </si>
  <si>
    <t xml:space="preserve">S6.030.603</t>
  </si>
  <si>
    <t xml:space="preserve">TI-F1-S6-0801B-UAA32</t>
  </si>
  <si>
    <t xml:space="preserve">S7.030.701</t>
  </si>
  <si>
    <t xml:space="preserve">TI-F1-S7-0801B-UAA31</t>
  </si>
  <si>
    <t xml:space="preserve">S7.030.703</t>
  </si>
  <si>
    <t xml:space="preserve">TI-F1-S7-0801B-UAA32</t>
  </si>
  <si>
    <t xml:space="preserve">S8.030.801</t>
  </si>
  <si>
    <t xml:space="preserve">TI-F1-S8-0801B-UAA31</t>
  </si>
  <si>
    <t xml:space="preserve">S8.030.803</t>
  </si>
  <si>
    <t xml:space="preserve">TI-F1-S8-0801B-UAA32</t>
  </si>
  <si>
    <t xml:space="preserve">Zone type 16</t>
  </si>
  <si>
    <t xml:space="preserve">A2.020.036</t>
  </si>
  <si>
    <t xml:space="preserve">TI-F1-A2-0801B-UAA03</t>
  </si>
  <si>
    <t xml:space="preserve">16</t>
  </si>
  <si>
    <t xml:space="preserve">0701F</t>
  </si>
  <si>
    <t xml:space="preserve">A2.020.039-042</t>
  </si>
  <si>
    <t xml:space="preserve">TI-F1-A2-0801B-UAA06</t>
  </si>
  <si>
    <t xml:space="preserve">A2.020.039-42</t>
  </si>
  <si>
    <t xml:space="preserve">A2.020.043</t>
  </si>
  <si>
    <t xml:space="preserve">TI-F1-A2-0801B-UAA07</t>
  </si>
  <si>
    <t xml:space="preserve">Zone type 17</t>
  </si>
  <si>
    <t xml:space="preserve">A1.020.088, 106-109</t>
  </si>
  <si>
    <t xml:space="preserve">TI-F1-A1-0801B-UAA13</t>
  </si>
  <si>
    <t xml:space="preserve">17</t>
  </si>
  <si>
    <t xml:space="preserve">A1.020.088</t>
  </si>
  <si>
    <t xml:space="preserve">Hovedtotal</t>
  </si>
  <si>
    <t xml:space="preserve">Mappe fordeling</t>
  </si>
  <si>
    <t xml:space="preserve">Zone generation</t>
  </si>
  <si>
    <t xml:space="preserve">Zone typer NEW</t>
  </si>
  <si>
    <t xml:space="preserve">IBI-Boks Type</t>
  </si>
  <si>
    <t xml:space="preserve">Sum af Rumtemp eratur</t>
  </si>
  <si>
    <t xml:space="preserve">Sum af Luftkvalit et</t>
  </si>
  <si>
    <t xml:space="preserve">Sum af Temperatur, i loft</t>
  </si>
  <si>
    <t xml:space="preserve">Sum af Temperatur
, infrarød</t>
  </si>
  <si>
    <t xml:space="preserve">Sum af Rumpanel</t>
  </si>
  <si>
    <t xml:space="preserve">Sum af VAV-
spjæld,
indbl.</t>
  </si>
  <si>
    <t xml:space="preserve">Sum af VAV-
spjæld,
uds.</t>
  </si>
  <si>
    <t xml:space="preserve">Sum af On/Off spjæld, indbl.</t>
  </si>
  <si>
    <t xml:space="preserve">Sum af On/Off- spjæld, uds.</t>
  </si>
  <si>
    <t xml:space="preserve">Sum af Ventil, radiator</t>
  </si>
  <si>
    <t xml:space="preserve">Sum af Ventil, gulvvarme</t>
  </si>
  <si>
    <t xml:space="preserve">Sum af Ventil, kølebaffel</t>
  </si>
  <si>
    <t xml:space="preserve">Sum af Solafskærmni ng motor</t>
  </si>
  <si>
    <t xml:space="preserve">Sum af Solafskærmning tryk op/ned</t>
  </si>
  <si>
    <t xml:space="preserve">Lysstyring </t>
  </si>
  <si>
    <t xml:space="preserve">Mappe 02</t>
  </si>
  <si>
    <t xml:space="preserve">NEW</t>
  </si>
  <si>
    <t xml:space="preserve">Gang </t>
  </si>
  <si>
    <t xml:space="preserve">Mappe 03,04,06</t>
  </si>
  <si>
    <t xml:space="preserve">Teknik </t>
  </si>
  <si>
    <t xml:space="preserve">PIR &amp; loft temperaturføgler skal ses bort fra på PI-diagram</t>
  </si>
  <si>
    <t xml:space="preserve">Gang</t>
  </si>
  <si>
    <t xml:space="preserve">loft temperaturføgler skal ses bort fra på PI-diagram</t>
  </si>
  <si>
    <t xml:space="preserve">Mappe 05,07</t>
  </si>
  <si>
    <t xml:space="preserve">Omklædning </t>
  </si>
  <si>
    <t xml:space="preserve">Infrarød temperaturføgler skal ses bort fra på PI-diagram</t>
  </si>
  <si>
    <t xml:space="preserve">Toilet </t>
  </si>
  <si>
    <t xml:space="preserve">Mappe 08</t>
  </si>
  <si>
    <t xml:space="preserve">Corridor</t>
  </si>
  <si>
    <t xml:space="preserve">Mappe 09</t>
  </si>
  <si>
    <t xml:space="preserve">Te køkken</t>
  </si>
  <si>
    <t xml:space="preserve">Mappe 10,12</t>
  </si>
  <si>
    <t xml:space="preserve">Mini rum / møderum</t>
  </si>
  <si>
    <t xml:space="preserve">Radiator skal ses bort fra på PI-diagram</t>
  </si>
  <si>
    <t xml:space="preserve">Mappe 11,13</t>
  </si>
  <si>
    <t xml:space="preserve">Møderum</t>
  </si>
  <si>
    <t xml:space="preserve">Loft temperaturføgler skal ses bort fra på PI-diagram</t>
  </si>
  <si>
    <t xml:space="preserve">Affald / Kaffe station</t>
  </si>
  <si>
    <t xml:space="preserve">Mappe 14</t>
  </si>
  <si>
    <t xml:space="preserve">Møderum </t>
  </si>
  <si>
    <t xml:space="preserve">Mappe 15</t>
  </si>
  <si>
    <t xml:space="preserve">Kontor </t>
  </si>
  <si>
    <t xml:space="preserve">B/B+</t>
  </si>
  <si>
    <t xml:space="preserve">Special </t>
  </si>
  <si>
    <t xml:space="preserve">x</t>
  </si>
  <si>
    <t xml:space="preserve">Rumpanel RJ 45 </t>
  </si>
  <si>
    <t xml:space="preserve">AI 2 leder </t>
  </si>
  <si>
    <t xml:space="preserve">AI +24V AC</t>
  </si>
  <si>
    <t xml:space="preserve">MODBUS +24Vac</t>
  </si>
  <si>
    <t xml:space="preserve"> DO +24Vac </t>
  </si>
  <si>
    <t xml:space="preserve">AO +24Vac </t>
  </si>
  <si>
    <t xml:space="preserve">BACnet /IP</t>
  </si>
  <si>
    <t xml:space="preserve">BACnet/IP </t>
  </si>
  <si>
    <t xml:space="preserve">Fra Rumpanel </t>
  </si>
  <si>
    <t xml:space="preserve">DI </t>
  </si>
  <si>
    <t xml:space="preserve">Schneider </t>
  </si>
  <si>
    <t xml:space="preserve">RDF-18 NTC10k L2000 </t>
  </si>
  <si>
    <t xml:space="preserve">RDF-IR V L3000 </t>
  </si>
  <si>
    <t xml:space="preserve">Lindab VRU</t>
  </si>
  <si>
    <t xml:space="preserve">SM24A-S</t>
  </si>
  <si>
    <t xml:space="preserve">MP125</t>
  </si>
  <si>
    <t xml:space="preserve">EMO TM</t>
  </si>
  <si>
    <t xml:space="preserve">SoMfy) </t>
  </si>
  <si>
    <t xml:space="preserve">Strøm forbrug </t>
  </si>
  <si>
    <t xml:space="preserve">2 W +30W til RP-C </t>
  </si>
  <si>
    <t xml:space="preserve">0 W</t>
  </si>
  <si>
    <t xml:space="preserve">0,6W </t>
  </si>
  <si>
    <t xml:space="preserve">3W pr stk </t>
  </si>
  <si>
    <t xml:space="preserve">2W </t>
  </si>
  <si>
    <t xml:space="preserve">1,2 W</t>
  </si>
  <si>
    <t xml:space="preserve">7W opstart / 3W drift </t>
  </si>
  <si>
    <t xml:space="preserve">SXWSBTXXXSXX</t>
  </si>
  <si>
    <t xml:space="preserve">SXWSBTXCXSXX</t>
  </si>
  <si>
    <t xml:space="preserve">UB1 &amp; UB02 &amp; UB08</t>
  </si>
  <si>
    <t xml:space="preserve">DO1 &amp; DO2</t>
  </si>
  <si>
    <t xml:space="preserve">UB3 &amp; 4</t>
  </si>
  <si>
    <t xml:space="preserve">UB5 - 7</t>
  </si>
  <si>
    <t xml:space="preserve">Zone med størst bestykning </t>
  </si>
  <si>
    <t xml:space="preserve">Zone type 14 </t>
  </si>
  <si>
    <t xml:space="preserve">cover SXWSCDXSELXX</t>
  </si>
  <si>
    <t xml:space="preserve">Controller SXWRCF12B10002</t>
  </si>
  <si>
    <t xml:space="preserve">antal </t>
  </si>
  <si>
    <t xml:space="preserve">Zone bokse </t>
  </si>
  <si>
    <t xml:space="preserve">Maks bestykning </t>
  </si>
  <si>
    <t xml:space="preserve">rumpanel 
loft temp 
VAV MODBUS 
Dørkontakt 
Radiator 
Køleventil </t>
  </si>
  <si>
    <t xml:space="preserve">rumpanel </t>
  </si>
  <si>
    <t xml:space="preserve">RJ45 stik </t>
  </si>
  <si>
    <t xml:space="preserve">loft temp </t>
  </si>
  <si>
    <t xml:space="preserve">VAV</t>
  </si>
  <si>
    <t xml:space="preserve">MODBUS </t>
  </si>
  <si>
    <t xml:space="preserve">24Vac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</si>
</sst>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5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sz val="10"/>
      <name val="Arial"/>
      <family val="2"/>
    </font>
    <font>
      <sz val="11"/>
      <color rgb="FF242424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0E6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43B2E1"/>
      </patternFill>
    </fill>
    <fill>
      <patternFill patternType="solid">
        <fgColor rgb="FF92D050"/>
        <bgColor rgb="FFC0C0C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>
        <color rgb="FF43B2E1"/>
      </bottom>
      <diagonal/>
    </border>
    <border diagonalUp="false" diagonalDown="false">
      <left/>
      <right/>
      <top style="thin">
        <color rgb="FF43B2E1"/>
      </top>
      <bottom style="thin">
        <color rgb="FF43B2E1"/>
      </bottom>
      <diagonal/>
    </border>
    <border diagonalUp="false" diagonalDown="false">
      <left/>
      <right/>
      <top style="thin">
        <color rgb="FF43B2E1"/>
      </top>
      <bottom/>
      <diagonal/>
    </border>
    <border diagonalUp="false" diagonalDown="false">
      <left/>
      <right/>
      <top style="thin">
        <color rgb="FF43B2E1"/>
      </top>
      <bottom style="thin">
        <color rgb="FF00B0F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64" fontId="7" fillId="4" borderId="1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1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4" borderId="17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1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1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2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0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0" fillId="0" borderId="1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1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2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2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8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8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2" borderId="1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2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2" borderId="1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10" fillId="4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8" fillId="4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0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8" fillId="4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4" borderId="2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4" borderId="2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4" borderId="1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0" borderId="20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2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3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6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6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6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6" borderId="2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6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6" borderId="2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2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25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7" fillId="4" borderId="2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4" borderId="2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2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1" fillId="4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4" borderId="2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2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2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4" borderId="29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9" fillId="4" borderId="19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1" fillId="4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4" borderId="1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3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3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3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3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10" fillId="0" borderId="3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0" borderId="23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24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5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9" fillId="4" borderId="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7" fillId="0" borderId="3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3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7" borderId="3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0" xfId="0" applyFont="true" applyBorder="fals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7" borderId="3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5" borderId="3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9" fillId="5" borderId="3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7" borderId="3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7" borderId="0" xfId="0" applyFont="true" applyBorder="fals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9" fillId="0" borderId="3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7">
    <dxf>
      <fill>
        <patternFill patternType="solid">
          <fgColor rgb="FF00B0F0"/>
          <bgColor rgb="FF000000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3B2E1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19</xdr:col>
      <xdr:colOff>411120</xdr:colOff>
      <xdr:row>1</xdr:row>
      <xdr:rowOff>408600</xdr:rowOff>
    </xdr:to>
    <xdr:sp>
      <xdr:nvSpPr>
        <xdr:cNvPr id="1" name="Shape 4"/>
        <xdr:cNvSpPr/>
      </xdr:nvSpPr>
      <xdr:spPr>
        <a:xfrm>
          <a:off x="17183160" y="162000"/>
          <a:ext cx="411120" cy="408600"/>
        </a:xfrm>
        <a:custGeom>
          <a:avLst/>
          <a:gdLst/>
          <a:ahLst/>
          <a:rect l="l" t="t" r="r" b="b"/>
          <a:pathLst>
            <a:path w="411480" h="408940">
              <a:moveTo>
                <a:pt x="74136" y="322093"/>
              </a:moveTo>
              <a:lnTo>
                <a:pt x="38344" y="345365"/>
              </a:lnTo>
              <a:lnTo>
                <a:pt x="15549" y="367852"/>
              </a:lnTo>
              <a:lnTo>
                <a:pt x="3514" y="387354"/>
              </a:lnTo>
              <a:lnTo>
                <a:pt x="0" y="401674"/>
              </a:lnTo>
              <a:lnTo>
                <a:pt x="0" y="408377"/>
              </a:lnTo>
              <a:lnTo>
                <a:pt x="31410" y="408377"/>
              </a:lnTo>
              <a:lnTo>
                <a:pt x="33852" y="407537"/>
              </a:lnTo>
              <a:lnTo>
                <a:pt x="7958" y="407537"/>
              </a:lnTo>
              <a:lnTo>
                <a:pt x="11583" y="392302"/>
              </a:lnTo>
              <a:lnTo>
                <a:pt x="25026" y="370784"/>
              </a:lnTo>
              <a:lnTo>
                <a:pt x="46479" y="346281"/>
              </a:lnTo>
              <a:lnTo>
                <a:pt x="74136" y="322093"/>
              </a:lnTo>
              <a:close/>
            </a:path>
            <a:path w="411480" h="408940">
              <a:moveTo>
                <a:pt x="175917" y="0"/>
              </a:moveTo>
              <a:lnTo>
                <a:pt x="167684" y="5497"/>
              </a:lnTo>
              <a:lnTo>
                <a:pt x="163456" y="18219"/>
              </a:lnTo>
              <a:lnTo>
                <a:pt x="161977" y="31786"/>
              </a:lnTo>
              <a:lnTo>
                <a:pt x="161898" y="32512"/>
              </a:lnTo>
              <a:lnTo>
                <a:pt x="161776" y="38115"/>
              </a:lnTo>
              <a:lnTo>
                <a:pt x="161676" y="42722"/>
              </a:lnTo>
              <a:lnTo>
                <a:pt x="161977" y="51956"/>
              </a:lnTo>
              <a:lnTo>
                <a:pt x="167906" y="94305"/>
              </a:lnTo>
              <a:lnTo>
                <a:pt x="175917" y="128585"/>
              </a:lnTo>
              <a:lnTo>
                <a:pt x="169712" y="151291"/>
              </a:lnTo>
              <a:lnTo>
                <a:pt x="152949" y="193962"/>
              </a:lnTo>
              <a:lnTo>
                <a:pt x="128406" y="248048"/>
              </a:lnTo>
              <a:lnTo>
                <a:pt x="98858" y="304999"/>
              </a:lnTo>
              <a:lnTo>
                <a:pt x="67083" y="356265"/>
              </a:lnTo>
              <a:lnTo>
                <a:pt x="35857" y="393294"/>
              </a:lnTo>
              <a:lnTo>
                <a:pt x="7958" y="407537"/>
              </a:lnTo>
              <a:lnTo>
                <a:pt x="33852" y="407537"/>
              </a:lnTo>
              <a:lnTo>
                <a:pt x="35242" y="407060"/>
              </a:lnTo>
              <a:lnTo>
                <a:pt x="56911" y="388218"/>
              </a:lnTo>
              <a:lnTo>
                <a:pt x="83213" y="354848"/>
              </a:lnTo>
              <a:lnTo>
                <a:pt x="114346" y="305339"/>
              </a:lnTo>
              <a:lnTo>
                <a:pt x="118460" y="304082"/>
              </a:lnTo>
              <a:lnTo>
                <a:pt x="114346" y="304082"/>
              </a:lnTo>
              <a:lnTo>
                <a:pt x="144051" y="249691"/>
              </a:lnTo>
              <a:lnTo>
                <a:pt x="163822" y="207905"/>
              </a:lnTo>
              <a:lnTo>
                <a:pt x="176133" y="176092"/>
              </a:lnTo>
              <a:lnTo>
                <a:pt x="183456" y="151622"/>
              </a:lnTo>
              <a:lnTo>
                <a:pt x="198158" y="151622"/>
              </a:lnTo>
              <a:lnTo>
                <a:pt x="188901" y="127329"/>
              </a:lnTo>
              <a:lnTo>
                <a:pt x="191927" y="105968"/>
              </a:lnTo>
              <a:lnTo>
                <a:pt x="183456" y="105968"/>
              </a:lnTo>
              <a:lnTo>
                <a:pt x="178639" y="87591"/>
              </a:lnTo>
              <a:lnTo>
                <a:pt x="175393" y="69842"/>
              </a:lnTo>
              <a:lnTo>
                <a:pt x="173561" y="53193"/>
              </a:lnTo>
              <a:lnTo>
                <a:pt x="172985" y="38115"/>
              </a:lnTo>
              <a:lnTo>
                <a:pt x="173106" y="32512"/>
              </a:lnTo>
              <a:lnTo>
                <a:pt x="173122" y="31786"/>
              </a:lnTo>
              <a:lnTo>
                <a:pt x="174084" y="21099"/>
              </a:lnTo>
              <a:lnTo>
                <a:pt x="176695" y="10019"/>
              </a:lnTo>
              <a:lnTo>
                <a:pt x="181781" y="2513"/>
              </a:lnTo>
              <a:lnTo>
                <a:pt x="191983" y="2513"/>
              </a:lnTo>
              <a:lnTo>
                <a:pt x="186597" y="418"/>
              </a:lnTo>
              <a:lnTo>
                <a:pt x="175917" y="0"/>
              </a:lnTo>
              <a:close/>
            </a:path>
            <a:path w="411480" h="408940">
              <a:moveTo>
                <a:pt x="407122" y="303245"/>
              </a:moveTo>
              <a:lnTo>
                <a:pt x="395394" y="303245"/>
              </a:lnTo>
              <a:lnTo>
                <a:pt x="390787" y="307433"/>
              </a:lnTo>
              <a:lnTo>
                <a:pt x="390787" y="318742"/>
              </a:lnTo>
              <a:lnTo>
                <a:pt x="395394" y="322930"/>
              </a:lnTo>
              <a:lnTo>
                <a:pt x="407122" y="322930"/>
              </a:lnTo>
              <a:lnTo>
                <a:pt x="409216" y="320836"/>
              </a:lnTo>
              <a:lnTo>
                <a:pt x="396651" y="320836"/>
              </a:lnTo>
              <a:lnTo>
                <a:pt x="392881" y="317485"/>
              </a:lnTo>
              <a:lnTo>
                <a:pt x="392881" y="308690"/>
              </a:lnTo>
              <a:lnTo>
                <a:pt x="396651" y="305339"/>
              </a:lnTo>
              <a:lnTo>
                <a:pt x="409216" y="305339"/>
              </a:lnTo>
              <a:lnTo>
                <a:pt x="407122" y="303245"/>
              </a:lnTo>
              <a:close/>
            </a:path>
            <a:path w="411480" h="408940">
              <a:moveTo>
                <a:pt x="409216" y="305339"/>
              </a:moveTo>
              <a:lnTo>
                <a:pt x="405865" y="305339"/>
              </a:lnTo>
              <a:lnTo>
                <a:pt x="408797" y="308690"/>
              </a:lnTo>
              <a:lnTo>
                <a:pt x="408797" y="317485"/>
              </a:lnTo>
              <a:lnTo>
                <a:pt x="405865" y="320836"/>
              </a:lnTo>
              <a:lnTo>
                <a:pt x="409216" y="320836"/>
              </a:lnTo>
              <a:lnTo>
                <a:pt x="411311" y="318742"/>
              </a:lnTo>
              <a:lnTo>
                <a:pt x="411311" y="307433"/>
              </a:lnTo>
              <a:lnTo>
                <a:pt x="409216" y="305339"/>
              </a:lnTo>
              <a:close/>
            </a:path>
            <a:path w="411480" h="408940">
              <a:moveTo>
                <a:pt x="403771" y="306595"/>
              </a:moveTo>
              <a:lnTo>
                <a:pt x="397070" y="306595"/>
              </a:lnTo>
              <a:lnTo>
                <a:pt x="397070" y="318742"/>
              </a:lnTo>
              <a:lnTo>
                <a:pt x="399164" y="318742"/>
              </a:lnTo>
              <a:lnTo>
                <a:pt x="399164" y="314135"/>
              </a:lnTo>
              <a:lnTo>
                <a:pt x="404469" y="314135"/>
              </a:lnTo>
              <a:lnTo>
                <a:pt x="404190" y="313716"/>
              </a:lnTo>
              <a:lnTo>
                <a:pt x="402934" y="313297"/>
              </a:lnTo>
              <a:lnTo>
                <a:pt x="405447" y="312459"/>
              </a:lnTo>
              <a:lnTo>
                <a:pt x="399164" y="312459"/>
              </a:lnTo>
              <a:lnTo>
                <a:pt x="399164" y="309108"/>
              </a:lnTo>
              <a:lnTo>
                <a:pt x="405167" y="309108"/>
              </a:lnTo>
              <a:lnTo>
                <a:pt x="405098" y="308690"/>
              </a:lnTo>
              <a:lnTo>
                <a:pt x="405028" y="308271"/>
              </a:lnTo>
              <a:lnTo>
                <a:pt x="403771" y="306595"/>
              </a:lnTo>
              <a:close/>
            </a:path>
            <a:path w="411480" h="408940">
              <a:moveTo>
                <a:pt x="404469" y="314135"/>
              </a:moveTo>
              <a:lnTo>
                <a:pt x="401677" y="314135"/>
              </a:lnTo>
              <a:lnTo>
                <a:pt x="402515" y="315391"/>
              </a:lnTo>
              <a:lnTo>
                <a:pt x="402934" y="316648"/>
              </a:lnTo>
              <a:lnTo>
                <a:pt x="403352" y="318742"/>
              </a:lnTo>
              <a:lnTo>
                <a:pt x="405447" y="318742"/>
              </a:lnTo>
              <a:lnTo>
                <a:pt x="405028" y="316648"/>
              </a:lnTo>
              <a:lnTo>
                <a:pt x="405028" y="314972"/>
              </a:lnTo>
              <a:lnTo>
                <a:pt x="404469" y="314135"/>
              </a:lnTo>
              <a:close/>
            </a:path>
            <a:path w="411480" h="408940">
              <a:moveTo>
                <a:pt x="405167" y="309108"/>
              </a:moveTo>
              <a:lnTo>
                <a:pt x="402096" y="309108"/>
              </a:lnTo>
              <a:lnTo>
                <a:pt x="402934" y="309527"/>
              </a:lnTo>
              <a:lnTo>
                <a:pt x="402934" y="312040"/>
              </a:lnTo>
              <a:lnTo>
                <a:pt x="401677" y="312459"/>
              </a:lnTo>
              <a:lnTo>
                <a:pt x="405447" y="312459"/>
              </a:lnTo>
              <a:lnTo>
                <a:pt x="405447" y="310784"/>
              </a:lnTo>
              <a:lnTo>
                <a:pt x="405237" y="309527"/>
              </a:lnTo>
              <a:lnTo>
                <a:pt x="405167" y="309108"/>
              </a:lnTo>
              <a:close/>
            </a:path>
            <a:path w="411480" h="408940">
              <a:moveTo>
                <a:pt x="198158" y="151622"/>
              </a:moveTo>
              <a:lnTo>
                <a:pt x="183456" y="151622"/>
              </a:lnTo>
              <a:lnTo>
                <a:pt x="206061" y="197008"/>
              </a:lnTo>
              <a:lnTo>
                <a:pt x="229529" y="227905"/>
              </a:lnTo>
              <a:lnTo>
                <a:pt x="251428" y="247571"/>
              </a:lnTo>
              <a:lnTo>
                <a:pt x="269320" y="259266"/>
              </a:lnTo>
              <a:lnTo>
                <a:pt x="231417" y="266805"/>
              </a:lnTo>
              <a:lnTo>
                <a:pt x="192461" y="276648"/>
              </a:lnTo>
              <a:lnTo>
                <a:pt x="152932" y="289069"/>
              </a:lnTo>
              <a:lnTo>
                <a:pt x="114346" y="304082"/>
              </a:lnTo>
              <a:lnTo>
                <a:pt x="118460" y="304082"/>
              </a:lnTo>
              <a:lnTo>
                <a:pt x="153587" y="293356"/>
              </a:lnTo>
              <a:lnTo>
                <a:pt x="196440" y="283297"/>
              </a:lnTo>
              <a:lnTo>
                <a:pt x="240865" y="275359"/>
              </a:lnTo>
              <a:lnTo>
                <a:pt x="284818" y="269737"/>
              </a:lnTo>
              <a:lnTo>
                <a:pt x="316269" y="269737"/>
              </a:lnTo>
              <a:lnTo>
                <a:pt x="309530" y="266805"/>
              </a:lnTo>
              <a:lnTo>
                <a:pt x="337940" y="265503"/>
              </a:lnTo>
              <a:lnTo>
                <a:pt x="402767" y="265503"/>
              </a:lnTo>
              <a:lnTo>
                <a:pt x="391886" y="259632"/>
              </a:lnTo>
              <a:lnTo>
                <a:pt x="376264" y="256334"/>
              </a:lnTo>
              <a:lnTo>
                <a:pt x="291100" y="256334"/>
              </a:lnTo>
              <a:lnTo>
                <a:pt x="281382" y="250771"/>
              </a:lnTo>
              <a:lnTo>
                <a:pt x="232605" y="210909"/>
              </a:lnTo>
              <a:lnTo>
                <a:pt x="200275" y="157178"/>
              </a:lnTo>
              <a:lnTo>
                <a:pt x="198158" y="151622"/>
              </a:lnTo>
              <a:close/>
            </a:path>
            <a:path w="411480" h="408940">
              <a:moveTo>
                <a:pt x="316269" y="269737"/>
              </a:moveTo>
              <a:lnTo>
                <a:pt x="284818" y="269737"/>
              </a:lnTo>
              <a:lnTo>
                <a:pt x="312305" y="282158"/>
              </a:lnTo>
              <a:lnTo>
                <a:pt x="339478" y="291517"/>
              </a:lnTo>
              <a:lnTo>
                <a:pt x="364452" y="297420"/>
              </a:lnTo>
              <a:lnTo>
                <a:pt x="385342" y="299475"/>
              </a:lnTo>
              <a:lnTo>
                <a:pt x="398326" y="299475"/>
              </a:lnTo>
              <a:lnTo>
                <a:pt x="405447" y="296543"/>
              </a:lnTo>
              <a:lnTo>
                <a:pt x="406389" y="292773"/>
              </a:lnTo>
              <a:lnTo>
                <a:pt x="394138" y="292773"/>
              </a:lnTo>
              <a:lnTo>
                <a:pt x="377560" y="290895"/>
              </a:lnTo>
              <a:lnTo>
                <a:pt x="357017" y="285601"/>
              </a:lnTo>
              <a:lnTo>
                <a:pt x="333882" y="277400"/>
              </a:lnTo>
              <a:lnTo>
                <a:pt x="316269" y="269737"/>
              </a:lnTo>
              <a:close/>
            </a:path>
            <a:path w="411480" h="408940">
              <a:moveTo>
                <a:pt x="407122" y="289842"/>
              </a:moveTo>
              <a:lnTo>
                <a:pt x="404190" y="291098"/>
              </a:lnTo>
              <a:lnTo>
                <a:pt x="399583" y="292773"/>
              </a:lnTo>
              <a:lnTo>
                <a:pt x="406389" y="292773"/>
              </a:lnTo>
              <a:lnTo>
                <a:pt x="407122" y="289842"/>
              </a:lnTo>
              <a:close/>
            </a:path>
            <a:path w="411480" h="408940">
              <a:moveTo>
                <a:pt x="402767" y="265503"/>
              </a:moveTo>
              <a:lnTo>
                <a:pt x="337940" y="265503"/>
              </a:lnTo>
              <a:lnTo>
                <a:pt x="370944" y="266438"/>
              </a:lnTo>
              <a:lnTo>
                <a:pt x="398058" y="272165"/>
              </a:lnTo>
              <a:lnTo>
                <a:pt x="408797" y="285234"/>
              </a:lnTo>
              <a:lnTo>
                <a:pt x="410054" y="282302"/>
              </a:lnTo>
              <a:lnTo>
                <a:pt x="411322" y="281046"/>
              </a:lnTo>
              <a:lnTo>
                <a:pt x="411322" y="278114"/>
              </a:lnTo>
              <a:lnTo>
                <a:pt x="406212" y="267361"/>
              </a:lnTo>
              <a:lnTo>
                <a:pt x="402767" y="265503"/>
              </a:lnTo>
              <a:close/>
            </a:path>
            <a:path w="411480" h="408940">
              <a:moveTo>
                <a:pt x="341363" y="253402"/>
              </a:moveTo>
              <a:lnTo>
                <a:pt x="330152" y="253683"/>
              </a:lnTo>
              <a:lnTo>
                <a:pt x="317959" y="254397"/>
              </a:lnTo>
              <a:lnTo>
                <a:pt x="291100" y="256334"/>
              </a:lnTo>
              <a:lnTo>
                <a:pt x="376264" y="256334"/>
              </a:lnTo>
              <a:lnTo>
                <a:pt x="369785" y="254966"/>
              </a:lnTo>
              <a:lnTo>
                <a:pt x="341363" y="253402"/>
              </a:lnTo>
              <a:close/>
            </a:path>
            <a:path w="411480" h="408940">
              <a:moveTo>
                <a:pt x="196021" y="34345"/>
              </a:moveTo>
              <a:lnTo>
                <a:pt x="193764" y="46714"/>
              </a:lnTo>
              <a:lnTo>
                <a:pt x="191264" y="61936"/>
              </a:lnTo>
              <a:lnTo>
                <a:pt x="187834" y="82290"/>
              </a:lnTo>
              <a:lnTo>
                <a:pt x="183514" y="105654"/>
              </a:lnTo>
              <a:lnTo>
                <a:pt x="183456" y="105968"/>
              </a:lnTo>
              <a:lnTo>
                <a:pt x="191927" y="105968"/>
              </a:lnTo>
              <a:lnTo>
                <a:pt x="192311" y="103258"/>
              </a:lnTo>
              <a:lnTo>
                <a:pt x="194189" y="80209"/>
              </a:lnTo>
              <a:lnTo>
                <a:pt x="195203" y="57473"/>
              </a:lnTo>
              <a:lnTo>
                <a:pt x="196021" y="34345"/>
              </a:lnTo>
              <a:close/>
            </a:path>
            <a:path w="411480" h="408940">
              <a:moveTo>
                <a:pt x="191983" y="2513"/>
              </a:moveTo>
              <a:lnTo>
                <a:pt x="181781" y="2513"/>
              </a:lnTo>
              <a:lnTo>
                <a:pt x="186303" y="5366"/>
              </a:lnTo>
              <a:lnTo>
                <a:pt x="190665" y="10019"/>
              </a:lnTo>
              <a:lnTo>
                <a:pt x="194091" y="16884"/>
              </a:lnTo>
              <a:lnTo>
                <a:pt x="196021" y="26806"/>
              </a:lnTo>
              <a:lnTo>
                <a:pt x="197592" y="11308"/>
              </a:lnTo>
              <a:lnTo>
                <a:pt x="194137" y="3350"/>
              </a:lnTo>
              <a:lnTo>
                <a:pt x="191983" y="2513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420120</xdr:colOff>
      <xdr:row>1</xdr:row>
      <xdr:rowOff>416880</xdr:rowOff>
    </xdr:to>
    <xdr:sp>
      <xdr:nvSpPr>
        <xdr:cNvPr id="2" name="Shape 5"/>
        <xdr:cNvSpPr/>
      </xdr:nvSpPr>
      <xdr:spPr>
        <a:xfrm>
          <a:off x="17183160" y="162000"/>
          <a:ext cx="420120" cy="416880"/>
        </a:xfrm>
        <a:custGeom>
          <a:avLst/>
          <a:gdLst/>
          <a:ahLst/>
          <a:rect l="l" t="t" r="r" b="b"/>
          <a:pathLst>
            <a:path w="420370" h="417195">
              <a:moveTo>
                <a:pt x="75714" y="328945"/>
              </a:moveTo>
              <a:lnTo>
                <a:pt x="39160" y="352712"/>
              </a:lnTo>
              <a:lnTo>
                <a:pt x="15880" y="375677"/>
              </a:lnTo>
              <a:lnTo>
                <a:pt x="3589" y="395595"/>
              </a:lnTo>
              <a:lnTo>
                <a:pt x="0" y="410219"/>
              </a:lnTo>
              <a:lnTo>
                <a:pt x="0" y="417064"/>
              </a:lnTo>
              <a:lnTo>
                <a:pt x="32080" y="417064"/>
              </a:lnTo>
              <a:lnTo>
                <a:pt x="34572" y="416207"/>
              </a:lnTo>
              <a:lnTo>
                <a:pt x="8127" y="416207"/>
              </a:lnTo>
              <a:lnTo>
                <a:pt x="11830" y="400648"/>
              </a:lnTo>
              <a:lnTo>
                <a:pt x="25558" y="378672"/>
              </a:lnTo>
              <a:lnTo>
                <a:pt x="47468" y="353648"/>
              </a:lnTo>
              <a:lnTo>
                <a:pt x="75714" y="328945"/>
              </a:lnTo>
              <a:close/>
            </a:path>
            <a:path w="420370" h="417195">
              <a:moveTo>
                <a:pt x="179661" y="0"/>
              </a:moveTo>
              <a:lnTo>
                <a:pt x="165219" y="38925"/>
              </a:lnTo>
              <a:lnTo>
                <a:pt x="165117" y="43631"/>
              </a:lnTo>
              <a:lnTo>
                <a:pt x="165424" y="53061"/>
              </a:lnTo>
              <a:lnTo>
                <a:pt x="171480" y="96312"/>
              </a:lnTo>
              <a:lnTo>
                <a:pt x="179661" y="131321"/>
              </a:lnTo>
              <a:lnTo>
                <a:pt x="173324" y="154510"/>
              </a:lnTo>
              <a:lnTo>
                <a:pt x="156205" y="198089"/>
              </a:lnTo>
              <a:lnTo>
                <a:pt x="131139" y="253325"/>
              </a:lnTo>
              <a:lnTo>
                <a:pt x="100962" y="311488"/>
              </a:lnTo>
              <a:lnTo>
                <a:pt x="68510" y="363844"/>
              </a:lnTo>
              <a:lnTo>
                <a:pt x="36620" y="401661"/>
              </a:lnTo>
              <a:lnTo>
                <a:pt x="8127" y="416207"/>
              </a:lnTo>
              <a:lnTo>
                <a:pt x="34572" y="416207"/>
              </a:lnTo>
              <a:lnTo>
                <a:pt x="35992" y="415719"/>
              </a:lnTo>
              <a:lnTo>
                <a:pt x="58122" y="396477"/>
              </a:lnTo>
              <a:lnTo>
                <a:pt x="84984" y="362397"/>
              </a:lnTo>
              <a:lnTo>
                <a:pt x="116779" y="311835"/>
              </a:lnTo>
              <a:lnTo>
                <a:pt x="120982" y="310551"/>
              </a:lnTo>
              <a:lnTo>
                <a:pt x="116779" y="310551"/>
              </a:lnTo>
              <a:lnTo>
                <a:pt x="147117" y="255003"/>
              </a:lnTo>
              <a:lnTo>
                <a:pt x="167309" y="212328"/>
              </a:lnTo>
              <a:lnTo>
                <a:pt x="179881" y="179838"/>
              </a:lnTo>
              <a:lnTo>
                <a:pt x="187360" y="154848"/>
              </a:lnTo>
              <a:lnTo>
                <a:pt x="202375" y="154848"/>
              </a:lnTo>
              <a:lnTo>
                <a:pt x="192921" y="130038"/>
              </a:lnTo>
              <a:lnTo>
                <a:pt x="196012" y="108222"/>
              </a:lnTo>
              <a:lnTo>
                <a:pt x="187360" y="108222"/>
              </a:lnTo>
              <a:lnTo>
                <a:pt x="182441" y="89454"/>
              </a:lnTo>
              <a:lnTo>
                <a:pt x="179126" y="71328"/>
              </a:lnTo>
              <a:lnTo>
                <a:pt x="177254" y="54325"/>
              </a:lnTo>
              <a:lnTo>
                <a:pt x="176666" y="38925"/>
              </a:lnTo>
              <a:lnTo>
                <a:pt x="176791" y="33204"/>
              </a:lnTo>
              <a:lnTo>
                <a:pt x="176807" y="32462"/>
              </a:lnTo>
              <a:lnTo>
                <a:pt x="177789" y="21548"/>
              </a:lnTo>
              <a:lnTo>
                <a:pt x="180456" y="10232"/>
              </a:lnTo>
              <a:lnTo>
                <a:pt x="185649" y="2566"/>
              </a:lnTo>
              <a:lnTo>
                <a:pt x="196068" y="2566"/>
              </a:lnTo>
              <a:lnTo>
                <a:pt x="190569" y="427"/>
              </a:lnTo>
              <a:lnTo>
                <a:pt x="179661" y="0"/>
              </a:lnTo>
              <a:close/>
            </a:path>
            <a:path w="420370" h="417195">
              <a:moveTo>
                <a:pt x="415787" y="309696"/>
              </a:moveTo>
              <a:lnTo>
                <a:pt x="403809" y="309696"/>
              </a:lnTo>
              <a:lnTo>
                <a:pt x="399104" y="313973"/>
              </a:lnTo>
              <a:lnTo>
                <a:pt x="399104" y="325523"/>
              </a:lnTo>
              <a:lnTo>
                <a:pt x="403809" y="329800"/>
              </a:lnTo>
              <a:lnTo>
                <a:pt x="415787" y="329800"/>
              </a:lnTo>
              <a:lnTo>
                <a:pt x="417926" y="327662"/>
              </a:lnTo>
              <a:lnTo>
                <a:pt x="405093" y="327662"/>
              </a:lnTo>
              <a:lnTo>
                <a:pt x="401243" y="324240"/>
              </a:lnTo>
              <a:lnTo>
                <a:pt x="401243" y="315257"/>
              </a:lnTo>
              <a:lnTo>
                <a:pt x="405093" y="311835"/>
              </a:lnTo>
              <a:lnTo>
                <a:pt x="417926" y="311835"/>
              </a:lnTo>
              <a:lnTo>
                <a:pt x="415787" y="309696"/>
              </a:lnTo>
              <a:close/>
            </a:path>
            <a:path w="420370" h="417195">
              <a:moveTo>
                <a:pt x="417926" y="311835"/>
              </a:moveTo>
              <a:lnTo>
                <a:pt x="414503" y="311835"/>
              </a:lnTo>
              <a:lnTo>
                <a:pt x="417498" y="315257"/>
              </a:lnTo>
              <a:lnTo>
                <a:pt x="417498" y="324240"/>
              </a:lnTo>
              <a:lnTo>
                <a:pt x="414503" y="327662"/>
              </a:lnTo>
              <a:lnTo>
                <a:pt x="417926" y="327662"/>
              </a:lnTo>
              <a:lnTo>
                <a:pt x="420064" y="325523"/>
              </a:lnTo>
              <a:lnTo>
                <a:pt x="420064" y="313973"/>
              </a:lnTo>
              <a:lnTo>
                <a:pt x="417926" y="311835"/>
              </a:lnTo>
              <a:close/>
            </a:path>
            <a:path w="420370" h="417195">
              <a:moveTo>
                <a:pt x="412365" y="313118"/>
              </a:moveTo>
              <a:lnTo>
                <a:pt x="405520" y="313118"/>
              </a:lnTo>
              <a:lnTo>
                <a:pt x="405520" y="325523"/>
              </a:lnTo>
              <a:lnTo>
                <a:pt x="407659" y="325523"/>
              </a:lnTo>
              <a:lnTo>
                <a:pt x="407659" y="320817"/>
              </a:lnTo>
              <a:lnTo>
                <a:pt x="413078" y="320817"/>
              </a:lnTo>
              <a:lnTo>
                <a:pt x="412792" y="320390"/>
              </a:lnTo>
              <a:lnTo>
                <a:pt x="411509" y="319962"/>
              </a:lnTo>
              <a:lnTo>
                <a:pt x="414076" y="319106"/>
              </a:lnTo>
              <a:lnTo>
                <a:pt x="407659" y="319106"/>
              </a:lnTo>
              <a:lnTo>
                <a:pt x="407659" y="315684"/>
              </a:lnTo>
              <a:lnTo>
                <a:pt x="413790" y="315684"/>
              </a:lnTo>
              <a:lnTo>
                <a:pt x="413719" y="315257"/>
              </a:lnTo>
              <a:lnTo>
                <a:pt x="413648" y="314829"/>
              </a:lnTo>
              <a:lnTo>
                <a:pt x="412365" y="313118"/>
              </a:lnTo>
              <a:close/>
            </a:path>
            <a:path w="420370" h="417195">
              <a:moveTo>
                <a:pt x="413078" y="320817"/>
              </a:moveTo>
              <a:lnTo>
                <a:pt x="410226" y="320817"/>
              </a:lnTo>
              <a:lnTo>
                <a:pt x="411081" y="322101"/>
              </a:lnTo>
              <a:lnTo>
                <a:pt x="411509" y="323384"/>
              </a:lnTo>
              <a:lnTo>
                <a:pt x="411937" y="325523"/>
              </a:lnTo>
              <a:lnTo>
                <a:pt x="414076" y="325523"/>
              </a:lnTo>
              <a:lnTo>
                <a:pt x="413648" y="323384"/>
              </a:lnTo>
              <a:lnTo>
                <a:pt x="413648" y="321673"/>
              </a:lnTo>
              <a:lnTo>
                <a:pt x="413078" y="320817"/>
              </a:lnTo>
              <a:close/>
            </a:path>
            <a:path w="420370" h="417195">
              <a:moveTo>
                <a:pt x="413790" y="315684"/>
              </a:moveTo>
              <a:lnTo>
                <a:pt x="410654" y="315684"/>
              </a:lnTo>
              <a:lnTo>
                <a:pt x="411509" y="316112"/>
              </a:lnTo>
              <a:lnTo>
                <a:pt x="411509" y="318679"/>
              </a:lnTo>
              <a:lnTo>
                <a:pt x="410226" y="319106"/>
              </a:lnTo>
              <a:lnTo>
                <a:pt x="414076" y="319106"/>
              </a:lnTo>
              <a:lnTo>
                <a:pt x="414076" y="317395"/>
              </a:lnTo>
              <a:lnTo>
                <a:pt x="413862" y="316112"/>
              </a:lnTo>
              <a:lnTo>
                <a:pt x="413790" y="315684"/>
              </a:lnTo>
              <a:close/>
            </a:path>
            <a:path w="420370" h="417195">
              <a:moveTo>
                <a:pt x="202375" y="154848"/>
              </a:moveTo>
              <a:lnTo>
                <a:pt x="187360" y="154848"/>
              </a:lnTo>
              <a:lnTo>
                <a:pt x="210446" y="201199"/>
              </a:lnTo>
              <a:lnTo>
                <a:pt x="234415" y="232753"/>
              </a:lnTo>
              <a:lnTo>
                <a:pt x="256779" y="252837"/>
              </a:lnTo>
              <a:lnTo>
                <a:pt x="275052" y="264781"/>
              </a:lnTo>
              <a:lnTo>
                <a:pt x="236342" y="272481"/>
              </a:lnTo>
              <a:lnTo>
                <a:pt x="196557" y="282533"/>
              </a:lnTo>
              <a:lnTo>
                <a:pt x="156187" y="295219"/>
              </a:lnTo>
              <a:lnTo>
                <a:pt x="116779" y="310551"/>
              </a:lnTo>
              <a:lnTo>
                <a:pt x="120982" y="310551"/>
              </a:lnTo>
              <a:lnTo>
                <a:pt x="156855" y="299597"/>
              </a:lnTo>
              <a:lnTo>
                <a:pt x="200621" y="289324"/>
              </a:lnTo>
              <a:lnTo>
                <a:pt x="245991" y="281217"/>
              </a:lnTo>
              <a:lnTo>
                <a:pt x="290879" y="275475"/>
              </a:lnTo>
              <a:lnTo>
                <a:pt x="323000" y="275475"/>
              </a:lnTo>
              <a:lnTo>
                <a:pt x="316118" y="272481"/>
              </a:lnTo>
              <a:lnTo>
                <a:pt x="345132" y="271151"/>
              </a:lnTo>
              <a:lnTo>
                <a:pt x="411339" y="271151"/>
              </a:lnTo>
              <a:lnTo>
                <a:pt x="400227" y="265156"/>
              </a:lnTo>
              <a:lnTo>
                <a:pt x="384272" y="261787"/>
              </a:lnTo>
              <a:lnTo>
                <a:pt x="297296" y="261787"/>
              </a:lnTo>
              <a:lnTo>
                <a:pt x="287370" y="256106"/>
              </a:lnTo>
              <a:lnTo>
                <a:pt x="237556" y="215395"/>
              </a:lnTo>
              <a:lnTo>
                <a:pt x="204538" y="160522"/>
              </a:lnTo>
              <a:lnTo>
                <a:pt x="202375" y="154848"/>
              </a:lnTo>
              <a:close/>
            </a:path>
            <a:path w="420370" h="417195">
              <a:moveTo>
                <a:pt x="323000" y="275475"/>
              </a:moveTo>
              <a:lnTo>
                <a:pt x="290879" y="275475"/>
              </a:lnTo>
              <a:lnTo>
                <a:pt x="318951" y="288161"/>
              </a:lnTo>
              <a:lnTo>
                <a:pt x="346703" y="297719"/>
              </a:lnTo>
              <a:lnTo>
                <a:pt x="372208" y="303747"/>
              </a:lnTo>
              <a:lnTo>
                <a:pt x="393543" y="305846"/>
              </a:lnTo>
              <a:lnTo>
                <a:pt x="406804" y="305846"/>
              </a:lnTo>
              <a:lnTo>
                <a:pt x="414076" y="302852"/>
              </a:lnTo>
              <a:lnTo>
                <a:pt x="415038" y="299002"/>
              </a:lnTo>
              <a:lnTo>
                <a:pt x="402526" y="299002"/>
              </a:lnTo>
              <a:lnTo>
                <a:pt x="385596" y="297084"/>
              </a:lnTo>
              <a:lnTo>
                <a:pt x="364615" y="291677"/>
              </a:lnTo>
              <a:lnTo>
                <a:pt x="340988" y="283302"/>
              </a:lnTo>
              <a:lnTo>
                <a:pt x="323000" y="275475"/>
              </a:lnTo>
              <a:close/>
            </a:path>
            <a:path w="420370" h="417195">
              <a:moveTo>
                <a:pt x="415787" y="296008"/>
              </a:moveTo>
              <a:lnTo>
                <a:pt x="412792" y="297291"/>
              </a:lnTo>
              <a:lnTo>
                <a:pt x="408087" y="299002"/>
              </a:lnTo>
              <a:lnTo>
                <a:pt x="415038" y="299002"/>
              </a:lnTo>
              <a:lnTo>
                <a:pt x="415787" y="296008"/>
              </a:lnTo>
              <a:close/>
            </a:path>
            <a:path w="420370" h="417195">
              <a:moveTo>
                <a:pt x="411339" y="271151"/>
              </a:moveTo>
              <a:lnTo>
                <a:pt x="345132" y="271151"/>
              </a:lnTo>
              <a:lnTo>
                <a:pt x="378839" y="272107"/>
              </a:lnTo>
              <a:lnTo>
                <a:pt x="406530" y="277955"/>
              </a:lnTo>
              <a:lnTo>
                <a:pt x="417498" y="291302"/>
              </a:lnTo>
              <a:lnTo>
                <a:pt x="418781" y="288308"/>
              </a:lnTo>
              <a:lnTo>
                <a:pt x="420064" y="287025"/>
              </a:lnTo>
              <a:lnTo>
                <a:pt x="420064" y="284030"/>
              </a:lnTo>
              <a:lnTo>
                <a:pt x="414858" y="273049"/>
              </a:lnTo>
              <a:lnTo>
                <a:pt x="411339" y="271151"/>
              </a:lnTo>
              <a:close/>
            </a:path>
            <a:path w="420370" h="417195">
              <a:moveTo>
                <a:pt x="348628" y="258793"/>
              </a:moveTo>
              <a:lnTo>
                <a:pt x="337178" y="259080"/>
              </a:lnTo>
              <a:lnTo>
                <a:pt x="324726" y="259809"/>
              </a:lnTo>
              <a:lnTo>
                <a:pt x="297296" y="261787"/>
              </a:lnTo>
              <a:lnTo>
                <a:pt x="384272" y="261787"/>
              </a:lnTo>
              <a:lnTo>
                <a:pt x="377655" y="260390"/>
              </a:lnTo>
              <a:lnTo>
                <a:pt x="348628" y="258793"/>
              </a:lnTo>
              <a:close/>
            </a:path>
            <a:path w="420370" h="417195">
              <a:moveTo>
                <a:pt x="200193" y="35076"/>
              </a:moveTo>
              <a:lnTo>
                <a:pt x="197887" y="47708"/>
              </a:lnTo>
              <a:lnTo>
                <a:pt x="195335" y="63254"/>
              </a:lnTo>
              <a:lnTo>
                <a:pt x="191832" y="84040"/>
              </a:lnTo>
              <a:lnTo>
                <a:pt x="187420" y="107901"/>
              </a:lnTo>
              <a:lnTo>
                <a:pt x="187360" y="108222"/>
              </a:lnTo>
              <a:lnTo>
                <a:pt x="196012" y="108222"/>
              </a:lnTo>
              <a:lnTo>
                <a:pt x="196404" y="105455"/>
              </a:lnTo>
              <a:lnTo>
                <a:pt x="198322" y="81915"/>
              </a:lnTo>
              <a:lnTo>
                <a:pt x="199358" y="58696"/>
              </a:lnTo>
              <a:lnTo>
                <a:pt x="200193" y="35076"/>
              </a:lnTo>
              <a:close/>
            </a:path>
            <a:path w="420370" h="417195">
              <a:moveTo>
                <a:pt x="196068" y="2566"/>
              </a:moveTo>
              <a:lnTo>
                <a:pt x="185649" y="2566"/>
              </a:lnTo>
              <a:lnTo>
                <a:pt x="190268" y="5480"/>
              </a:lnTo>
              <a:lnTo>
                <a:pt x="194723" y="10232"/>
              </a:lnTo>
              <a:lnTo>
                <a:pt x="198222" y="17243"/>
              </a:lnTo>
              <a:lnTo>
                <a:pt x="200193" y="27376"/>
              </a:lnTo>
              <a:lnTo>
                <a:pt x="201797" y="11549"/>
              </a:lnTo>
              <a:lnTo>
                <a:pt x="198268" y="3422"/>
              </a:lnTo>
              <a:lnTo>
                <a:pt x="196068" y="2566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403560</xdr:colOff>
      <xdr:row>1</xdr:row>
      <xdr:rowOff>401040</xdr:rowOff>
    </xdr:to>
    <xdr:sp>
      <xdr:nvSpPr>
        <xdr:cNvPr id="3" name="Shape 6"/>
        <xdr:cNvSpPr/>
      </xdr:nvSpPr>
      <xdr:spPr>
        <a:xfrm>
          <a:off x="17183160" y="162000"/>
          <a:ext cx="403560" cy="401040"/>
        </a:xfrm>
        <a:custGeom>
          <a:avLst/>
          <a:gdLst/>
          <a:ahLst/>
          <a:rect l="l" t="t" r="r" b="b"/>
          <a:pathLst>
            <a:path w="403860" h="401320">
              <a:moveTo>
                <a:pt x="72743" y="316046"/>
              </a:moveTo>
              <a:lnTo>
                <a:pt x="37624" y="338881"/>
              </a:lnTo>
              <a:lnTo>
                <a:pt x="15257" y="360946"/>
              </a:lnTo>
              <a:lnTo>
                <a:pt x="3448" y="380083"/>
              </a:lnTo>
              <a:lnTo>
                <a:pt x="0" y="394133"/>
              </a:lnTo>
              <a:lnTo>
                <a:pt x="0" y="400707"/>
              </a:lnTo>
              <a:lnTo>
                <a:pt x="30829" y="400707"/>
              </a:lnTo>
              <a:lnTo>
                <a:pt x="33216" y="399887"/>
              </a:lnTo>
              <a:lnTo>
                <a:pt x="7808" y="399887"/>
              </a:lnTo>
              <a:lnTo>
                <a:pt x="11366" y="384937"/>
              </a:lnTo>
              <a:lnTo>
                <a:pt x="24556" y="363823"/>
              </a:lnTo>
              <a:lnTo>
                <a:pt x="45606" y="339780"/>
              </a:lnTo>
              <a:lnTo>
                <a:pt x="72743" y="316046"/>
              </a:lnTo>
              <a:close/>
            </a:path>
            <a:path w="403860" h="401320">
              <a:moveTo>
                <a:pt x="172612" y="0"/>
              </a:moveTo>
              <a:lnTo>
                <a:pt x="164534" y="5394"/>
              </a:lnTo>
              <a:lnTo>
                <a:pt x="160385" y="17877"/>
              </a:lnTo>
              <a:lnTo>
                <a:pt x="158935" y="31189"/>
              </a:lnTo>
              <a:lnTo>
                <a:pt x="158857" y="31902"/>
              </a:lnTo>
              <a:lnTo>
                <a:pt x="158737" y="37399"/>
              </a:lnTo>
              <a:lnTo>
                <a:pt x="158639" y="41920"/>
              </a:lnTo>
              <a:lnTo>
                <a:pt x="158934" y="50981"/>
              </a:lnTo>
              <a:lnTo>
                <a:pt x="164752" y="92535"/>
              </a:lnTo>
              <a:lnTo>
                <a:pt x="172612" y="126172"/>
              </a:lnTo>
              <a:lnTo>
                <a:pt x="166524" y="148451"/>
              </a:lnTo>
              <a:lnTo>
                <a:pt x="150076" y="190321"/>
              </a:lnTo>
              <a:lnTo>
                <a:pt x="125994" y="243392"/>
              </a:lnTo>
              <a:lnTo>
                <a:pt x="97001" y="299274"/>
              </a:lnTo>
              <a:lnTo>
                <a:pt x="65823" y="349577"/>
              </a:lnTo>
              <a:lnTo>
                <a:pt x="35183" y="385911"/>
              </a:lnTo>
              <a:lnTo>
                <a:pt x="7808" y="399887"/>
              </a:lnTo>
              <a:lnTo>
                <a:pt x="33216" y="399887"/>
              </a:lnTo>
              <a:lnTo>
                <a:pt x="34580" y="399418"/>
              </a:lnTo>
              <a:lnTo>
                <a:pt x="55842" y="380930"/>
              </a:lnTo>
              <a:lnTo>
                <a:pt x="81650" y="348186"/>
              </a:lnTo>
              <a:lnTo>
                <a:pt x="112198" y="299607"/>
              </a:lnTo>
              <a:lnTo>
                <a:pt x="116235" y="298374"/>
              </a:lnTo>
              <a:lnTo>
                <a:pt x="112198" y="298374"/>
              </a:lnTo>
              <a:lnTo>
                <a:pt x="141345" y="245004"/>
              </a:lnTo>
              <a:lnTo>
                <a:pt x="160745" y="204002"/>
              </a:lnTo>
              <a:lnTo>
                <a:pt x="172824" y="172786"/>
              </a:lnTo>
              <a:lnTo>
                <a:pt x="180010" y="148776"/>
              </a:lnTo>
              <a:lnTo>
                <a:pt x="194436" y="148776"/>
              </a:lnTo>
              <a:lnTo>
                <a:pt x="185353" y="124939"/>
              </a:lnTo>
              <a:lnTo>
                <a:pt x="188322" y="103978"/>
              </a:lnTo>
              <a:lnTo>
                <a:pt x="180010" y="103978"/>
              </a:lnTo>
              <a:lnTo>
                <a:pt x="175284" y="85947"/>
              </a:lnTo>
              <a:lnTo>
                <a:pt x="172098" y="68531"/>
              </a:lnTo>
              <a:lnTo>
                <a:pt x="170300" y="52194"/>
              </a:lnTo>
              <a:lnTo>
                <a:pt x="169735" y="37399"/>
              </a:lnTo>
              <a:lnTo>
                <a:pt x="169855" y="31902"/>
              </a:lnTo>
              <a:lnTo>
                <a:pt x="169870" y="31189"/>
              </a:lnTo>
              <a:lnTo>
                <a:pt x="170814" y="20703"/>
              </a:lnTo>
              <a:lnTo>
                <a:pt x="173376" y="9831"/>
              </a:lnTo>
              <a:lnTo>
                <a:pt x="178366" y="2465"/>
              </a:lnTo>
              <a:lnTo>
                <a:pt x="188376" y="2465"/>
              </a:lnTo>
              <a:lnTo>
                <a:pt x="183092" y="410"/>
              </a:lnTo>
              <a:lnTo>
                <a:pt x="172612" y="0"/>
              </a:lnTo>
              <a:close/>
            </a:path>
            <a:path w="403860" h="401320">
              <a:moveTo>
                <a:pt x="399475" y="297552"/>
              </a:moveTo>
              <a:lnTo>
                <a:pt x="387967" y="297552"/>
              </a:lnTo>
              <a:lnTo>
                <a:pt x="383446" y="301662"/>
              </a:lnTo>
              <a:lnTo>
                <a:pt x="383446" y="312758"/>
              </a:lnTo>
              <a:lnTo>
                <a:pt x="387967" y="316868"/>
              </a:lnTo>
              <a:lnTo>
                <a:pt x="399475" y="316868"/>
              </a:lnTo>
              <a:lnTo>
                <a:pt x="401530" y="314813"/>
              </a:lnTo>
              <a:lnTo>
                <a:pt x="389200" y="314813"/>
              </a:lnTo>
              <a:lnTo>
                <a:pt x="385501" y="311525"/>
              </a:lnTo>
              <a:lnTo>
                <a:pt x="385501" y="302895"/>
              </a:lnTo>
              <a:lnTo>
                <a:pt x="389200" y="299607"/>
              </a:lnTo>
              <a:lnTo>
                <a:pt x="401530" y="299607"/>
              </a:lnTo>
              <a:lnTo>
                <a:pt x="399475" y="297552"/>
              </a:lnTo>
              <a:close/>
            </a:path>
            <a:path w="403860" h="401320">
              <a:moveTo>
                <a:pt x="401530" y="299607"/>
              </a:moveTo>
              <a:lnTo>
                <a:pt x="398242" y="299607"/>
              </a:lnTo>
              <a:lnTo>
                <a:pt x="401119" y="302895"/>
              </a:lnTo>
              <a:lnTo>
                <a:pt x="401119" y="311525"/>
              </a:lnTo>
              <a:lnTo>
                <a:pt x="398242" y="314813"/>
              </a:lnTo>
              <a:lnTo>
                <a:pt x="401530" y="314813"/>
              </a:lnTo>
              <a:lnTo>
                <a:pt x="403584" y="312758"/>
              </a:lnTo>
              <a:lnTo>
                <a:pt x="403584" y="301662"/>
              </a:lnTo>
              <a:lnTo>
                <a:pt x="401530" y="299607"/>
              </a:lnTo>
              <a:close/>
            </a:path>
            <a:path w="403860" h="401320">
              <a:moveTo>
                <a:pt x="396187" y="300840"/>
              </a:moveTo>
              <a:lnTo>
                <a:pt x="389611" y="300840"/>
              </a:lnTo>
              <a:lnTo>
                <a:pt x="389611" y="312758"/>
              </a:lnTo>
              <a:lnTo>
                <a:pt x="391666" y="312758"/>
              </a:lnTo>
              <a:lnTo>
                <a:pt x="391666" y="308237"/>
              </a:lnTo>
              <a:lnTo>
                <a:pt x="396872" y="308237"/>
              </a:lnTo>
              <a:lnTo>
                <a:pt x="396598" y="307826"/>
              </a:lnTo>
              <a:lnTo>
                <a:pt x="395365" y="307415"/>
              </a:lnTo>
              <a:lnTo>
                <a:pt x="397831" y="306594"/>
              </a:lnTo>
              <a:lnTo>
                <a:pt x="391666" y="306594"/>
              </a:lnTo>
              <a:lnTo>
                <a:pt x="391666" y="303306"/>
              </a:lnTo>
              <a:lnTo>
                <a:pt x="397557" y="303306"/>
              </a:lnTo>
              <a:lnTo>
                <a:pt x="397488" y="302895"/>
              </a:lnTo>
              <a:lnTo>
                <a:pt x="397420" y="302484"/>
              </a:lnTo>
              <a:lnTo>
                <a:pt x="396187" y="300840"/>
              </a:lnTo>
              <a:close/>
            </a:path>
            <a:path w="403860" h="401320">
              <a:moveTo>
                <a:pt x="396872" y="308237"/>
              </a:moveTo>
              <a:lnTo>
                <a:pt x="394132" y="308237"/>
              </a:lnTo>
              <a:lnTo>
                <a:pt x="394954" y="309470"/>
              </a:lnTo>
              <a:lnTo>
                <a:pt x="395365" y="310703"/>
              </a:lnTo>
              <a:lnTo>
                <a:pt x="395776" y="312758"/>
              </a:lnTo>
              <a:lnTo>
                <a:pt x="397831" y="312758"/>
              </a:lnTo>
              <a:lnTo>
                <a:pt x="397420" y="310703"/>
              </a:lnTo>
              <a:lnTo>
                <a:pt x="397420" y="309059"/>
              </a:lnTo>
              <a:lnTo>
                <a:pt x="396872" y="308237"/>
              </a:lnTo>
              <a:close/>
            </a:path>
            <a:path w="403860" h="401320">
              <a:moveTo>
                <a:pt x="397557" y="303306"/>
              </a:moveTo>
              <a:lnTo>
                <a:pt x="394543" y="303306"/>
              </a:lnTo>
              <a:lnTo>
                <a:pt x="395365" y="303717"/>
              </a:lnTo>
              <a:lnTo>
                <a:pt x="395365" y="306183"/>
              </a:lnTo>
              <a:lnTo>
                <a:pt x="394132" y="306594"/>
              </a:lnTo>
              <a:lnTo>
                <a:pt x="397831" y="306594"/>
              </a:lnTo>
              <a:lnTo>
                <a:pt x="397831" y="304950"/>
              </a:lnTo>
              <a:lnTo>
                <a:pt x="397625" y="303717"/>
              </a:lnTo>
              <a:lnTo>
                <a:pt x="397557" y="303306"/>
              </a:lnTo>
              <a:close/>
            </a:path>
            <a:path w="403860" h="401320">
              <a:moveTo>
                <a:pt x="194436" y="148776"/>
              </a:moveTo>
              <a:lnTo>
                <a:pt x="180010" y="148776"/>
              </a:lnTo>
              <a:lnTo>
                <a:pt x="202190" y="193310"/>
              </a:lnTo>
              <a:lnTo>
                <a:pt x="225218" y="223626"/>
              </a:lnTo>
              <a:lnTo>
                <a:pt x="246705" y="242923"/>
              </a:lnTo>
              <a:lnTo>
                <a:pt x="264261" y="254399"/>
              </a:lnTo>
              <a:lnTo>
                <a:pt x="227070" y="261796"/>
              </a:lnTo>
              <a:lnTo>
                <a:pt x="188846" y="271454"/>
              </a:lnTo>
              <a:lnTo>
                <a:pt x="150060" y="283643"/>
              </a:lnTo>
              <a:lnTo>
                <a:pt x="112198" y="298374"/>
              </a:lnTo>
              <a:lnTo>
                <a:pt x="116235" y="298374"/>
              </a:lnTo>
              <a:lnTo>
                <a:pt x="150702" y="287849"/>
              </a:lnTo>
              <a:lnTo>
                <a:pt x="192750" y="277979"/>
              </a:lnTo>
              <a:lnTo>
                <a:pt x="236340" y="270189"/>
              </a:lnTo>
              <a:lnTo>
                <a:pt x="279468" y="264673"/>
              </a:lnTo>
              <a:lnTo>
                <a:pt x="310328" y="264673"/>
              </a:lnTo>
              <a:lnTo>
                <a:pt x="303716" y="261796"/>
              </a:lnTo>
              <a:lnTo>
                <a:pt x="331592" y="260518"/>
              </a:lnTo>
              <a:lnTo>
                <a:pt x="395202" y="260518"/>
              </a:lnTo>
              <a:lnTo>
                <a:pt x="384525" y="254758"/>
              </a:lnTo>
              <a:lnTo>
                <a:pt x="369196" y="251522"/>
              </a:lnTo>
              <a:lnTo>
                <a:pt x="285632" y="251522"/>
              </a:lnTo>
              <a:lnTo>
                <a:pt x="276096" y="246063"/>
              </a:lnTo>
              <a:lnTo>
                <a:pt x="228236" y="206949"/>
              </a:lnTo>
              <a:lnTo>
                <a:pt x="196513" y="154228"/>
              </a:lnTo>
              <a:lnTo>
                <a:pt x="194436" y="148776"/>
              </a:lnTo>
              <a:close/>
            </a:path>
            <a:path w="403860" h="401320">
              <a:moveTo>
                <a:pt x="310328" y="264673"/>
              </a:moveTo>
              <a:lnTo>
                <a:pt x="279468" y="264673"/>
              </a:lnTo>
              <a:lnTo>
                <a:pt x="306438" y="276861"/>
              </a:lnTo>
              <a:lnTo>
                <a:pt x="333101" y="286044"/>
              </a:lnTo>
              <a:lnTo>
                <a:pt x="357606" y="291837"/>
              </a:lnTo>
              <a:lnTo>
                <a:pt x="378104" y="293853"/>
              </a:lnTo>
              <a:lnTo>
                <a:pt x="390844" y="293853"/>
              </a:lnTo>
              <a:lnTo>
                <a:pt x="397831" y="290976"/>
              </a:lnTo>
              <a:lnTo>
                <a:pt x="398755" y="287277"/>
              </a:lnTo>
              <a:lnTo>
                <a:pt x="386734" y="287277"/>
              </a:lnTo>
              <a:lnTo>
                <a:pt x="370468" y="285434"/>
              </a:lnTo>
              <a:lnTo>
                <a:pt x="350311" y="280239"/>
              </a:lnTo>
              <a:lnTo>
                <a:pt x="327610" y="272193"/>
              </a:lnTo>
              <a:lnTo>
                <a:pt x="310328" y="264673"/>
              </a:lnTo>
              <a:close/>
            </a:path>
            <a:path w="403860" h="401320">
              <a:moveTo>
                <a:pt x="399475" y="284400"/>
              </a:moveTo>
              <a:lnTo>
                <a:pt x="396598" y="285633"/>
              </a:lnTo>
              <a:lnTo>
                <a:pt x="392077" y="287277"/>
              </a:lnTo>
              <a:lnTo>
                <a:pt x="398755" y="287277"/>
              </a:lnTo>
              <a:lnTo>
                <a:pt x="399475" y="284400"/>
              </a:lnTo>
              <a:close/>
            </a:path>
            <a:path w="403860" h="401320">
              <a:moveTo>
                <a:pt x="395202" y="260518"/>
              </a:moveTo>
              <a:lnTo>
                <a:pt x="331592" y="260518"/>
              </a:lnTo>
              <a:lnTo>
                <a:pt x="363976" y="261437"/>
              </a:lnTo>
              <a:lnTo>
                <a:pt x="390581" y="267056"/>
              </a:lnTo>
              <a:lnTo>
                <a:pt x="401119" y="279880"/>
              </a:lnTo>
              <a:lnTo>
                <a:pt x="402352" y="277003"/>
              </a:lnTo>
              <a:lnTo>
                <a:pt x="403580" y="275770"/>
              </a:lnTo>
              <a:lnTo>
                <a:pt x="403580" y="272893"/>
              </a:lnTo>
              <a:lnTo>
                <a:pt x="398582" y="262342"/>
              </a:lnTo>
              <a:lnTo>
                <a:pt x="395202" y="260518"/>
              </a:lnTo>
              <a:close/>
            </a:path>
            <a:path w="403860" h="401320">
              <a:moveTo>
                <a:pt x="334950" y="248645"/>
              </a:moveTo>
              <a:lnTo>
                <a:pt x="323950" y="248921"/>
              </a:lnTo>
              <a:lnTo>
                <a:pt x="311987" y="249621"/>
              </a:lnTo>
              <a:lnTo>
                <a:pt x="285632" y="251522"/>
              </a:lnTo>
              <a:lnTo>
                <a:pt x="369196" y="251522"/>
              </a:lnTo>
              <a:lnTo>
                <a:pt x="362839" y="250180"/>
              </a:lnTo>
              <a:lnTo>
                <a:pt x="334950" y="248645"/>
              </a:lnTo>
              <a:close/>
            </a:path>
            <a:path w="403860" h="401320">
              <a:moveTo>
                <a:pt x="192339" y="33700"/>
              </a:moveTo>
              <a:lnTo>
                <a:pt x="190124" y="45837"/>
              </a:lnTo>
              <a:lnTo>
                <a:pt x="187671" y="60774"/>
              </a:lnTo>
              <a:lnTo>
                <a:pt x="184306" y="80745"/>
              </a:lnTo>
              <a:lnTo>
                <a:pt x="180067" y="103670"/>
              </a:lnTo>
              <a:lnTo>
                <a:pt x="180010" y="103978"/>
              </a:lnTo>
              <a:lnTo>
                <a:pt x="188322" y="103978"/>
              </a:lnTo>
              <a:lnTo>
                <a:pt x="188698" y="101320"/>
              </a:lnTo>
              <a:lnTo>
                <a:pt x="190541" y="78703"/>
              </a:lnTo>
              <a:lnTo>
                <a:pt x="191537" y="56394"/>
              </a:lnTo>
              <a:lnTo>
                <a:pt x="192339" y="33700"/>
              </a:lnTo>
              <a:close/>
            </a:path>
            <a:path w="403860" h="401320">
              <a:moveTo>
                <a:pt x="188376" y="2465"/>
              </a:moveTo>
              <a:lnTo>
                <a:pt x="178366" y="2465"/>
              </a:lnTo>
              <a:lnTo>
                <a:pt x="182803" y="5265"/>
              </a:lnTo>
              <a:lnTo>
                <a:pt x="187083" y="9831"/>
              </a:lnTo>
              <a:lnTo>
                <a:pt x="190445" y="16567"/>
              </a:lnTo>
              <a:lnTo>
                <a:pt x="192339" y="26302"/>
              </a:lnTo>
              <a:lnTo>
                <a:pt x="193881" y="11096"/>
              </a:lnTo>
              <a:lnTo>
                <a:pt x="190490" y="3287"/>
              </a:lnTo>
              <a:lnTo>
                <a:pt x="188376" y="2465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326520</xdr:colOff>
      <xdr:row>0</xdr:row>
      <xdr:rowOff>0</xdr:rowOff>
    </xdr:from>
    <xdr:to>
      <xdr:col>22</xdr:col>
      <xdr:colOff>181800</xdr:colOff>
      <xdr:row>0</xdr:row>
      <xdr:rowOff>408600</xdr:rowOff>
    </xdr:to>
    <xdr:sp>
      <xdr:nvSpPr>
        <xdr:cNvPr id="4" name="Shape 4"/>
        <xdr:cNvSpPr/>
      </xdr:nvSpPr>
      <xdr:spPr>
        <a:xfrm>
          <a:off x="13035960" y="0"/>
          <a:ext cx="411120" cy="408600"/>
        </a:xfrm>
        <a:custGeom>
          <a:avLst/>
          <a:gdLst/>
          <a:ahLst/>
          <a:rect l="l" t="t" r="r" b="b"/>
          <a:pathLst>
            <a:path w="411480" h="408940">
              <a:moveTo>
                <a:pt x="74136" y="322093"/>
              </a:moveTo>
              <a:lnTo>
                <a:pt x="38344" y="345365"/>
              </a:lnTo>
              <a:lnTo>
                <a:pt x="15549" y="367852"/>
              </a:lnTo>
              <a:lnTo>
                <a:pt x="3514" y="387354"/>
              </a:lnTo>
              <a:lnTo>
                <a:pt x="0" y="401674"/>
              </a:lnTo>
              <a:lnTo>
                <a:pt x="0" y="408377"/>
              </a:lnTo>
              <a:lnTo>
                <a:pt x="31410" y="408377"/>
              </a:lnTo>
              <a:lnTo>
                <a:pt x="33852" y="407537"/>
              </a:lnTo>
              <a:lnTo>
                <a:pt x="7958" y="407537"/>
              </a:lnTo>
              <a:lnTo>
                <a:pt x="11583" y="392302"/>
              </a:lnTo>
              <a:lnTo>
                <a:pt x="25026" y="370784"/>
              </a:lnTo>
              <a:lnTo>
                <a:pt x="46479" y="346281"/>
              </a:lnTo>
              <a:lnTo>
                <a:pt x="74136" y="322093"/>
              </a:lnTo>
              <a:close/>
            </a:path>
            <a:path w="411480" h="408940">
              <a:moveTo>
                <a:pt x="175917" y="0"/>
              </a:moveTo>
              <a:lnTo>
                <a:pt x="167684" y="5497"/>
              </a:lnTo>
              <a:lnTo>
                <a:pt x="163456" y="18219"/>
              </a:lnTo>
              <a:lnTo>
                <a:pt x="161977" y="31786"/>
              </a:lnTo>
              <a:lnTo>
                <a:pt x="161898" y="32512"/>
              </a:lnTo>
              <a:lnTo>
                <a:pt x="161776" y="38115"/>
              </a:lnTo>
              <a:lnTo>
                <a:pt x="161676" y="42722"/>
              </a:lnTo>
              <a:lnTo>
                <a:pt x="161977" y="51956"/>
              </a:lnTo>
              <a:lnTo>
                <a:pt x="167906" y="94305"/>
              </a:lnTo>
              <a:lnTo>
                <a:pt x="175917" y="128585"/>
              </a:lnTo>
              <a:lnTo>
                <a:pt x="169712" y="151291"/>
              </a:lnTo>
              <a:lnTo>
                <a:pt x="152949" y="193962"/>
              </a:lnTo>
              <a:lnTo>
                <a:pt x="128406" y="248048"/>
              </a:lnTo>
              <a:lnTo>
                <a:pt x="98858" y="304999"/>
              </a:lnTo>
              <a:lnTo>
                <a:pt x="67083" y="356265"/>
              </a:lnTo>
              <a:lnTo>
                <a:pt x="35857" y="393294"/>
              </a:lnTo>
              <a:lnTo>
                <a:pt x="7958" y="407537"/>
              </a:lnTo>
              <a:lnTo>
                <a:pt x="33852" y="407537"/>
              </a:lnTo>
              <a:lnTo>
                <a:pt x="35242" y="407060"/>
              </a:lnTo>
              <a:lnTo>
                <a:pt x="56911" y="388218"/>
              </a:lnTo>
              <a:lnTo>
                <a:pt x="83213" y="354848"/>
              </a:lnTo>
              <a:lnTo>
                <a:pt x="114346" y="305339"/>
              </a:lnTo>
              <a:lnTo>
                <a:pt x="118460" y="304082"/>
              </a:lnTo>
              <a:lnTo>
                <a:pt x="114346" y="304082"/>
              </a:lnTo>
              <a:lnTo>
                <a:pt x="144051" y="249691"/>
              </a:lnTo>
              <a:lnTo>
                <a:pt x="163822" y="207905"/>
              </a:lnTo>
              <a:lnTo>
                <a:pt x="176133" y="176092"/>
              </a:lnTo>
              <a:lnTo>
                <a:pt x="183456" y="151622"/>
              </a:lnTo>
              <a:lnTo>
                <a:pt x="198158" y="151622"/>
              </a:lnTo>
              <a:lnTo>
                <a:pt x="188901" y="127329"/>
              </a:lnTo>
              <a:lnTo>
                <a:pt x="191927" y="105968"/>
              </a:lnTo>
              <a:lnTo>
                <a:pt x="183456" y="105968"/>
              </a:lnTo>
              <a:lnTo>
                <a:pt x="178639" y="87591"/>
              </a:lnTo>
              <a:lnTo>
                <a:pt x="175393" y="69842"/>
              </a:lnTo>
              <a:lnTo>
                <a:pt x="173561" y="53193"/>
              </a:lnTo>
              <a:lnTo>
                <a:pt x="172985" y="38115"/>
              </a:lnTo>
              <a:lnTo>
                <a:pt x="173106" y="32512"/>
              </a:lnTo>
              <a:lnTo>
                <a:pt x="173122" y="31786"/>
              </a:lnTo>
              <a:lnTo>
                <a:pt x="174084" y="21099"/>
              </a:lnTo>
              <a:lnTo>
                <a:pt x="176695" y="10019"/>
              </a:lnTo>
              <a:lnTo>
                <a:pt x="181781" y="2513"/>
              </a:lnTo>
              <a:lnTo>
                <a:pt x="191983" y="2513"/>
              </a:lnTo>
              <a:lnTo>
                <a:pt x="186597" y="418"/>
              </a:lnTo>
              <a:lnTo>
                <a:pt x="175917" y="0"/>
              </a:lnTo>
              <a:close/>
            </a:path>
            <a:path w="411480" h="408940">
              <a:moveTo>
                <a:pt x="407122" y="303245"/>
              </a:moveTo>
              <a:lnTo>
                <a:pt x="395394" y="303245"/>
              </a:lnTo>
              <a:lnTo>
                <a:pt x="390787" y="307433"/>
              </a:lnTo>
              <a:lnTo>
                <a:pt x="390787" y="318742"/>
              </a:lnTo>
              <a:lnTo>
                <a:pt x="395394" y="322930"/>
              </a:lnTo>
              <a:lnTo>
                <a:pt x="407122" y="322930"/>
              </a:lnTo>
              <a:lnTo>
                <a:pt x="409216" y="320836"/>
              </a:lnTo>
              <a:lnTo>
                <a:pt x="396651" y="320836"/>
              </a:lnTo>
              <a:lnTo>
                <a:pt x="392881" y="317485"/>
              </a:lnTo>
              <a:lnTo>
                <a:pt x="392881" y="308690"/>
              </a:lnTo>
              <a:lnTo>
                <a:pt x="396651" y="305339"/>
              </a:lnTo>
              <a:lnTo>
                <a:pt x="409216" y="305339"/>
              </a:lnTo>
              <a:lnTo>
                <a:pt x="407122" y="303245"/>
              </a:lnTo>
              <a:close/>
            </a:path>
            <a:path w="411480" h="408940">
              <a:moveTo>
                <a:pt x="409216" y="305339"/>
              </a:moveTo>
              <a:lnTo>
                <a:pt x="405865" y="305339"/>
              </a:lnTo>
              <a:lnTo>
                <a:pt x="408797" y="308690"/>
              </a:lnTo>
              <a:lnTo>
                <a:pt x="408797" y="317485"/>
              </a:lnTo>
              <a:lnTo>
                <a:pt x="405865" y="320836"/>
              </a:lnTo>
              <a:lnTo>
                <a:pt x="409216" y="320836"/>
              </a:lnTo>
              <a:lnTo>
                <a:pt x="411311" y="318742"/>
              </a:lnTo>
              <a:lnTo>
                <a:pt x="411311" y="307433"/>
              </a:lnTo>
              <a:lnTo>
                <a:pt x="409216" y="305339"/>
              </a:lnTo>
              <a:close/>
            </a:path>
            <a:path w="411480" h="408940">
              <a:moveTo>
                <a:pt x="403771" y="306595"/>
              </a:moveTo>
              <a:lnTo>
                <a:pt x="397070" y="306595"/>
              </a:lnTo>
              <a:lnTo>
                <a:pt x="397070" y="318742"/>
              </a:lnTo>
              <a:lnTo>
                <a:pt x="399164" y="318742"/>
              </a:lnTo>
              <a:lnTo>
                <a:pt x="399164" y="314135"/>
              </a:lnTo>
              <a:lnTo>
                <a:pt x="404469" y="314135"/>
              </a:lnTo>
              <a:lnTo>
                <a:pt x="404190" y="313716"/>
              </a:lnTo>
              <a:lnTo>
                <a:pt x="402934" y="313297"/>
              </a:lnTo>
              <a:lnTo>
                <a:pt x="405447" y="312459"/>
              </a:lnTo>
              <a:lnTo>
                <a:pt x="399164" y="312459"/>
              </a:lnTo>
              <a:lnTo>
                <a:pt x="399164" y="309108"/>
              </a:lnTo>
              <a:lnTo>
                <a:pt x="405167" y="309108"/>
              </a:lnTo>
              <a:lnTo>
                <a:pt x="405098" y="308690"/>
              </a:lnTo>
              <a:lnTo>
                <a:pt x="405028" y="308271"/>
              </a:lnTo>
              <a:lnTo>
                <a:pt x="403771" y="306595"/>
              </a:lnTo>
              <a:close/>
            </a:path>
            <a:path w="411480" h="408940">
              <a:moveTo>
                <a:pt x="404469" y="314135"/>
              </a:moveTo>
              <a:lnTo>
                <a:pt x="401677" y="314135"/>
              </a:lnTo>
              <a:lnTo>
                <a:pt x="402515" y="315391"/>
              </a:lnTo>
              <a:lnTo>
                <a:pt x="402934" y="316648"/>
              </a:lnTo>
              <a:lnTo>
                <a:pt x="403352" y="318742"/>
              </a:lnTo>
              <a:lnTo>
                <a:pt x="405447" y="318742"/>
              </a:lnTo>
              <a:lnTo>
                <a:pt x="405028" y="316648"/>
              </a:lnTo>
              <a:lnTo>
                <a:pt x="405028" y="314972"/>
              </a:lnTo>
              <a:lnTo>
                <a:pt x="404469" y="314135"/>
              </a:lnTo>
              <a:close/>
            </a:path>
            <a:path w="411480" h="408940">
              <a:moveTo>
                <a:pt x="405167" y="309108"/>
              </a:moveTo>
              <a:lnTo>
                <a:pt x="402096" y="309108"/>
              </a:lnTo>
              <a:lnTo>
                <a:pt x="402934" y="309527"/>
              </a:lnTo>
              <a:lnTo>
                <a:pt x="402934" y="312040"/>
              </a:lnTo>
              <a:lnTo>
                <a:pt x="401677" y="312459"/>
              </a:lnTo>
              <a:lnTo>
                <a:pt x="405447" y="312459"/>
              </a:lnTo>
              <a:lnTo>
                <a:pt x="405447" y="310784"/>
              </a:lnTo>
              <a:lnTo>
                <a:pt x="405237" y="309527"/>
              </a:lnTo>
              <a:lnTo>
                <a:pt x="405167" y="309108"/>
              </a:lnTo>
              <a:close/>
            </a:path>
            <a:path w="411480" h="408940">
              <a:moveTo>
                <a:pt x="198158" y="151622"/>
              </a:moveTo>
              <a:lnTo>
                <a:pt x="183456" y="151622"/>
              </a:lnTo>
              <a:lnTo>
                <a:pt x="206061" y="197008"/>
              </a:lnTo>
              <a:lnTo>
                <a:pt x="229529" y="227905"/>
              </a:lnTo>
              <a:lnTo>
                <a:pt x="251428" y="247571"/>
              </a:lnTo>
              <a:lnTo>
                <a:pt x="269320" y="259266"/>
              </a:lnTo>
              <a:lnTo>
                <a:pt x="231417" y="266805"/>
              </a:lnTo>
              <a:lnTo>
                <a:pt x="192461" y="276648"/>
              </a:lnTo>
              <a:lnTo>
                <a:pt x="152932" y="289069"/>
              </a:lnTo>
              <a:lnTo>
                <a:pt x="114346" y="304082"/>
              </a:lnTo>
              <a:lnTo>
                <a:pt x="118460" y="304082"/>
              </a:lnTo>
              <a:lnTo>
                <a:pt x="153587" y="293356"/>
              </a:lnTo>
              <a:lnTo>
                <a:pt x="196440" y="283297"/>
              </a:lnTo>
              <a:lnTo>
                <a:pt x="240865" y="275359"/>
              </a:lnTo>
              <a:lnTo>
                <a:pt x="284818" y="269737"/>
              </a:lnTo>
              <a:lnTo>
                <a:pt x="316269" y="269737"/>
              </a:lnTo>
              <a:lnTo>
                <a:pt x="309530" y="266805"/>
              </a:lnTo>
              <a:lnTo>
                <a:pt x="337940" y="265503"/>
              </a:lnTo>
              <a:lnTo>
                <a:pt x="402767" y="265503"/>
              </a:lnTo>
              <a:lnTo>
                <a:pt x="391886" y="259632"/>
              </a:lnTo>
              <a:lnTo>
                <a:pt x="376264" y="256334"/>
              </a:lnTo>
              <a:lnTo>
                <a:pt x="291100" y="256334"/>
              </a:lnTo>
              <a:lnTo>
                <a:pt x="281382" y="250771"/>
              </a:lnTo>
              <a:lnTo>
                <a:pt x="232605" y="210909"/>
              </a:lnTo>
              <a:lnTo>
                <a:pt x="200275" y="157178"/>
              </a:lnTo>
              <a:lnTo>
                <a:pt x="198158" y="151622"/>
              </a:lnTo>
              <a:close/>
            </a:path>
            <a:path w="411480" h="408940">
              <a:moveTo>
                <a:pt x="316269" y="269737"/>
              </a:moveTo>
              <a:lnTo>
                <a:pt x="284818" y="269737"/>
              </a:lnTo>
              <a:lnTo>
                <a:pt x="312305" y="282158"/>
              </a:lnTo>
              <a:lnTo>
                <a:pt x="339478" y="291517"/>
              </a:lnTo>
              <a:lnTo>
                <a:pt x="364452" y="297420"/>
              </a:lnTo>
              <a:lnTo>
                <a:pt x="385342" y="299475"/>
              </a:lnTo>
              <a:lnTo>
                <a:pt x="398326" y="299475"/>
              </a:lnTo>
              <a:lnTo>
                <a:pt x="405447" y="296543"/>
              </a:lnTo>
              <a:lnTo>
                <a:pt x="406389" y="292773"/>
              </a:lnTo>
              <a:lnTo>
                <a:pt x="394138" y="292773"/>
              </a:lnTo>
              <a:lnTo>
                <a:pt x="377560" y="290895"/>
              </a:lnTo>
              <a:lnTo>
                <a:pt x="357017" y="285601"/>
              </a:lnTo>
              <a:lnTo>
                <a:pt x="333882" y="277400"/>
              </a:lnTo>
              <a:lnTo>
                <a:pt x="316269" y="269737"/>
              </a:lnTo>
              <a:close/>
            </a:path>
            <a:path w="411480" h="408940">
              <a:moveTo>
                <a:pt x="407122" y="289842"/>
              </a:moveTo>
              <a:lnTo>
                <a:pt x="404190" y="291098"/>
              </a:lnTo>
              <a:lnTo>
                <a:pt x="399583" y="292773"/>
              </a:lnTo>
              <a:lnTo>
                <a:pt x="406389" y="292773"/>
              </a:lnTo>
              <a:lnTo>
                <a:pt x="407122" y="289842"/>
              </a:lnTo>
              <a:close/>
            </a:path>
            <a:path w="411480" h="408940">
              <a:moveTo>
                <a:pt x="402767" y="265503"/>
              </a:moveTo>
              <a:lnTo>
                <a:pt x="337940" y="265503"/>
              </a:lnTo>
              <a:lnTo>
                <a:pt x="370944" y="266438"/>
              </a:lnTo>
              <a:lnTo>
                <a:pt x="398058" y="272165"/>
              </a:lnTo>
              <a:lnTo>
                <a:pt x="408797" y="285234"/>
              </a:lnTo>
              <a:lnTo>
                <a:pt x="410054" y="282302"/>
              </a:lnTo>
              <a:lnTo>
                <a:pt x="411322" y="281046"/>
              </a:lnTo>
              <a:lnTo>
                <a:pt x="411322" y="278114"/>
              </a:lnTo>
              <a:lnTo>
                <a:pt x="406212" y="267361"/>
              </a:lnTo>
              <a:lnTo>
                <a:pt x="402767" y="265503"/>
              </a:lnTo>
              <a:close/>
            </a:path>
            <a:path w="411480" h="408940">
              <a:moveTo>
                <a:pt x="341363" y="253402"/>
              </a:moveTo>
              <a:lnTo>
                <a:pt x="330152" y="253683"/>
              </a:lnTo>
              <a:lnTo>
                <a:pt x="317959" y="254397"/>
              </a:lnTo>
              <a:lnTo>
                <a:pt x="291100" y="256334"/>
              </a:lnTo>
              <a:lnTo>
                <a:pt x="376264" y="256334"/>
              </a:lnTo>
              <a:lnTo>
                <a:pt x="369785" y="254966"/>
              </a:lnTo>
              <a:lnTo>
                <a:pt x="341363" y="253402"/>
              </a:lnTo>
              <a:close/>
            </a:path>
            <a:path w="411480" h="408940">
              <a:moveTo>
                <a:pt x="196021" y="34345"/>
              </a:moveTo>
              <a:lnTo>
                <a:pt x="193764" y="46714"/>
              </a:lnTo>
              <a:lnTo>
                <a:pt x="191264" y="61936"/>
              </a:lnTo>
              <a:lnTo>
                <a:pt x="187834" y="82290"/>
              </a:lnTo>
              <a:lnTo>
                <a:pt x="183514" y="105654"/>
              </a:lnTo>
              <a:lnTo>
                <a:pt x="183456" y="105968"/>
              </a:lnTo>
              <a:lnTo>
                <a:pt x="191927" y="105968"/>
              </a:lnTo>
              <a:lnTo>
                <a:pt x="192311" y="103258"/>
              </a:lnTo>
              <a:lnTo>
                <a:pt x="194189" y="80209"/>
              </a:lnTo>
              <a:lnTo>
                <a:pt x="195203" y="57473"/>
              </a:lnTo>
              <a:lnTo>
                <a:pt x="196021" y="34345"/>
              </a:lnTo>
              <a:close/>
            </a:path>
            <a:path w="411480" h="408940">
              <a:moveTo>
                <a:pt x="191983" y="2513"/>
              </a:moveTo>
              <a:lnTo>
                <a:pt x="181781" y="2513"/>
              </a:lnTo>
              <a:lnTo>
                <a:pt x="186303" y="5366"/>
              </a:lnTo>
              <a:lnTo>
                <a:pt x="190665" y="10019"/>
              </a:lnTo>
              <a:lnTo>
                <a:pt x="194091" y="16884"/>
              </a:lnTo>
              <a:lnTo>
                <a:pt x="196021" y="26806"/>
              </a:lnTo>
              <a:lnTo>
                <a:pt x="197592" y="11308"/>
              </a:lnTo>
              <a:lnTo>
                <a:pt x="194137" y="3350"/>
              </a:lnTo>
              <a:lnTo>
                <a:pt x="191983" y="2513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0</xdr:colOff>
      <xdr:row>0</xdr:row>
      <xdr:rowOff>0</xdr:rowOff>
    </xdr:from>
    <xdr:to>
      <xdr:col>20</xdr:col>
      <xdr:colOff>420120</xdr:colOff>
      <xdr:row>0</xdr:row>
      <xdr:rowOff>416880</xdr:rowOff>
    </xdr:to>
    <xdr:sp>
      <xdr:nvSpPr>
        <xdr:cNvPr id="5" name="Shape 5"/>
        <xdr:cNvSpPr/>
      </xdr:nvSpPr>
      <xdr:spPr>
        <a:xfrm>
          <a:off x="12153960" y="0"/>
          <a:ext cx="420120" cy="416880"/>
        </a:xfrm>
        <a:custGeom>
          <a:avLst/>
          <a:gdLst/>
          <a:ahLst/>
          <a:rect l="l" t="t" r="r" b="b"/>
          <a:pathLst>
            <a:path w="420370" h="417195">
              <a:moveTo>
                <a:pt x="75714" y="328945"/>
              </a:moveTo>
              <a:lnTo>
                <a:pt x="39160" y="352712"/>
              </a:lnTo>
              <a:lnTo>
                <a:pt x="15880" y="375677"/>
              </a:lnTo>
              <a:lnTo>
                <a:pt x="3589" y="395595"/>
              </a:lnTo>
              <a:lnTo>
                <a:pt x="0" y="410219"/>
              </a:lnTo>
              <a:lnTo>
                <a:pt x="0" y="417064"/>
              </a:lnTo>
              <a:lnTo>
                <a:pt x="32080" y="417064"/>
              </a:lnTo>
              <a:lnTo>
                <a:pt x="34572" y="416207"/>
              </a:lnTo>
              <a:lnTo>
                <a:pt x="8127" y="416207"/>
              </a:lnTo>
              <a:lnTo>
                <a:pt x="11830" y="400648"/>
              </a:lnTo>
              <a:lnTo>
                <a:pt x="25558" y="378672"/>
              </a:lnTo>
              <a:lnTo>
                <a:pt x="47468" y="353648"/>
              </a:lnTo>
              <a:lnTo>
                <a:pt x="75714" y="328945"/>
              </a:lnTo>
              <a:close/>
            </a:path>
            <a:path w="420370" h="417195">
              <a:moveTo>
                <a:pt x="179661" y="0"/>
              </a:moveTo>
              <a:lnTo>
                <a:pt x="165219" y="38925"/>
              </a:lnTo>
              <a:lnTo>
                <a:pt x="165117" y="43631"/>
              </a:lnTo>
              <a:lnTo>
                <a:pt x="165424" y="53061"/>
              </a:lnTo>
              <a:lnTo>
                <a:pt x="171480" y="96312"/>
              </a:lnTo>
              <a:lnTo>
                <a:pt x="179661" y="131321"/>
              </a:lnTo>
              <a:lnTo>
                <a:pt x="173324" y="154510"/>
              </a:lnTo>
              <a:lnTo>
                <a:pt x="156205" y="198089"/>
              </a:lnTo>
              <a:lnTo>
                <a:pt x="131139" y="253325"/>
              </a:lnTo>
              <a:lnTo>
                <a:pt x="100962" y="311488"/>
              </a:lnTo>
              <a:lnTo>
                <a:pt x="68510" y="363844"/>
              </a:lnTo>
              <a:lnTo>
                <a:pt x="36620" y="401661"/>
              </a:lnTo>
              <a:lnTo>
                <a:pt x="8127" y="416207"/>
              </a:lnTo>
              <a:lnTo>
                <a:pt x="34572" y="416207"/>
              </a:lnTo>
              <a:lnTo>
                <a:pt x="35992" y="415719"/>
              </a:lnTo>
              <a:lnTo>
                <a:pt x="58122" y="396477"/>
              </a:lnTo>
              <a:lnTo>
                <a:pt x="84984" y="362397"/>
              </a:lnTo>
              <a:lnTo>
                <a:pt x="116779" y="311835"/>
              </a:lnTo>
              <a:lnTo>
                <a:pt x="120982" y="310551"/>
              </a:lnTo>
              <a:lnTo>
                <a:pt x="116779" y="310551"/>
              </a:lnTo>
              <a:lnTo>
                <a:pt x="147117" y="255003"/>
              </a:lnTo>
              <a:lnTo>
                <a:pt x="167309" y="212328"/>
              </a:lnTo>
              <a:lnTo>
                <a:pt x="179881" y="179838"/>
              </a:lnTo>
              <a:lnTo>
                <a:pt x="187360" y="154848"/>
              </a:lnTo>
              <a:lnTo>
                <a:pt x="202375" y="154848"/>
              </a:lnTo>
              <a:lnTo>
                <a:pt x="192921" y="130038"/>
              </a:lnTo>
              <a:lnTo>
                <a:pt x="196012" y="108222"/>
              </a:lnTo>
              <a:lnTo>
                <a:pt x="187360" y="108222"/>
              </a:lnTo>
              <a:lnTo>
                <a:pt x="182441" y="89454"/>
              </a:lnTo>
              <a:lnTo>
                <a:pt x="179126" y="71328"/>
              </a:lnTo>
              <a:lnTo>
                <a:pt x="177254" y="54325"/>
              </a:lnTo>
              <a:lnTo>
                <a:pt x="176666" y="38925"/>
              </a:lnTo>
              <a:lnTo>
                <a:pt x="176791" y="33204"/>
              </a:lnTo>
              <a:lnTo>
                <a:pt x="176807" y="32462"/>
              </a:lnTo>
              <a:lnTo>
                <a:pt x="177789" y="21548"/>
              </a:lnTo>
              <a:lnTo>
                <a:pt x="180456" y="10232"/>
              </a:lnTo>
              <a:lnTo>
                <a:pt x="185649" y="2566"/>
              </a:lnTo>
              <a:lnTo>
                <a:pt x="196068" y="2566"/>
              </a:lnTo>
              <a:lnTo>
                <a:pt x="190569" y="427"/>
              </a:lnTo>
              <a:lnTo>
                <a:pt x="179661" y="0"/>
              </a:lnTo>
              <a:close/>
            </a:path>
            <a:path w="420370" h="417195">
              <a:moveTo>
                <a:pt x="415787" y="309696"/>
              </a:moveTo>
              <a:lnTo>
                <a:pt x="403809" y="309696"/>
              </a:lnTo>
              <a:lnTo>
                <a:pt x="399104" y="313973"/>
              </a:lnTo>
              <a:lnTo>
                <a:pt x="399104" y="325523"/>
              </a:lnTo>
              <a:lnTo>
                <a:pt x="403809" y="329800"/>
              </a:lnTo>
              <a:lnTo>
                <a:pt x="415787" y="329800"/>
              </a:lnTo>
              <a:lnTo>
                <a:pt x="417926" y="327662"/>
              </a:lnTo>
              <a:lnTo>
                <a:pt x="405093" y="327662"/>
              </a:lnTo>
              <a:lnTo>
                <a:pt x="401243" y="324240"/>
              </a:lnTo>
              <a:lnTo>
                <a:pt x="401243" y="315257"/>
              </a:lnTo>
              <a:lnTo>
                <a:pt x="405093" y="311835"/>
              </a:lnTo>
              <a:lnTo>
                <a:pt x="417926" y="311835"/>
              </a:lnTo>
              <a:lnTo>
                <a:pt x="415787" y="309696"/>
              </a:lnTo>
              <a:close/>
            </a:path>
            <a:path w="420370" h="417195">
              <a:moveTo>
                <a:pt x="417926" y="311835"/>
              </a:moveTo>
              <a:lnTo>
                <a:pt x="414503" y="311835"/>
              </a:lnTo>
              <a:lnTo>
                <a:pt x="417498" y="315257"/>
              </a:lnTo>
              <a:lnTo>
                <a:pt x="417498" y="324240"/>
              </a:lnTo>
              <a:lnTo>
                <a:pt x="414503" y="327662"/>
              </a:lnTo>
              <a:lnTo>
                <a:pt x="417926" y="327662"/>
              </a:lnTo>
              <a:lnTo>
                <a:pt x="420064" y="325523"/>
              </a:lnTo>
              <a:lnTo>
                <a:pt x="420064" y="313973"/>
              </a:lnTo>
              <a:lnTo>
                <a:pt x="417926" y="311835"/>
              </a:lnTo>
              <a:close/>
            </a:path>
            <a:path w="420370" h="417195">
              <a:moveTo>
                <a:pt x="412365" y="313118"/>
              </a:moveTo>
              <a:lnTo>
                <a:pt x="405520" y="313118"/>
              </a:lnTo>
              <a:lnTo>
                <a:pt x="405520" y="325523"/>
              </a:lnTo>
              <a:lnTo>
                <a:pt x="407659" y="325523"/>
              </a:lnTo>
              <a:lnTo>
                <a:pt x="407659" y="320817"/>
              </a:lnTo>
              <a:lnTo>
                <a:pt x="413078" y="320817"/>
              </a:lnTo>
              <a:lnTo>
                <a:pt x="412792" y="320390"/>
              </a:lnTo>
              <a:lnTo>
                <a:pt x="411509" y="319962"/>
              </a:lnTo>
              <a:lnTo>
                <a:pt x="414076" y="319106"/>
              </a:lnTo>
              <a:lnTo>
                <a:pt x="407659" y="319106"/>
              </a:lnTo>
              <a:lnTo>
                <a:pt x="407659" y="315684"/>
              </a:lnTo>
              <a:lnTo>
                <a:pt x="413790" y="315684"/>
              </a:lnTo>
              <a:lnTo>
                <a:pt x="413719" y="315257"/>
              </a:lnTo>
              <a:lnTo>
                <a:pt x="413648" y="314829"/>
              </a:lnTo>
              <a:lnTo>
                <a:pt x="412365" y="313118"/>
              </a:lnTo>
              <a:close/>
            </a:path>
            <a:path w="420370" h="417195">
              <a:moveTo>
                <a:pt x="413078" y="320817"/>
              </a:moveTo>
              <a:lnTo>
                <a:pt x="410226" y="320817"/>
              </a:lnTo>
              <a:lnTo>
                <a:pt x="411081" y="322101"/>
              </a:lnTo>
              <a:lnTo>
                <a:pt x="411509" y="323384"/>
              </a:lnTo>
              <a:lnTo>
                <a:pt x="411937" y="325523"/>
              </a:lnTo>
              <a:lnTo>
                <a:pt x="414076" y="325523"/>
              </a:lnTo>
              <a:lnTo>
                <a:pt x="413648" y="323384"/>
              </a:lnTo>
              <a:lnTo>
                <a:pt x="413648" y="321673"/>
              </a:lnTo>
              <a:lnTo>
                <a:pt x="413078" y="320817"/>
              </a:lnTo>
              <a:close/>
            </a:path>
            <a:path w="420370" h="417195">
              <a:moveTo>
                <a:pt x="413790" y="315684"/>
              </a:moveTo>
              <a:lnTo>
                <a:pt x="410654" y="315684"/>
              </a:lnTo>
              <a:lnTo>
                <a:pt x="411509" y="316112"/>
              </a:lnTo>
              <a:lnTo>
                <a:pt x="411509" y="318679"/>
              </a:lnTo>
              <a:lnTo>
                <a:pt x="410226" y="319106"/>
              </a:lnTo>
              <a:lnTo>
                <a:pt x="414076" y="319106"/>
              </a:lnTo>
              <a:lnTo>
                <a:pt x="414076" y="317395"/>
              </a:lnTo>
              <a:lnTo>
                <a:pt x="413862" y="316112"/>
              </a:lnTo>
              <a:lnTo>
                <a:pt x="413790" y="315684"/>
              </a:lnTo>
              <a:close/>
            </a:path>
            <a:path w="420370" h="417195">
              <a:moveTo>
                <a:pt x="202375" y="154848"/>
              </a:moveTo>
              <a:lnTo>
                <a:pt x="187360" y="154848"/>
              </a:lnTo>
              <a:lnTo>
                <a:pt x="210446" y="201199"/>
              </a:lnTo>
              <a:lnTo>
                <a:pt x="234415" y="232753"/>
              </a:lnTo>
              <a:lnTo>
                <a:pt x="256779" y="252837"/>
              </a:lnTo>
              <a:lnTo>
                <a:pt x="275052" y="264781"/>
              </a:lnTo>
              <a:lnTo>
                <a:pt x="236342" y="272481"/>
              </a:lnTo>
              <a:lnTo>
                <a:pt x="196557" y="282533"/>
              </a:lnTo>
              <a:lnTo>
                <a:pt x="156187" y="295219"/>
              </a:lnTo>
              <a:lnTo>
                <a:pt x="116779" y="310551"/>
              </a:lnTo>
              <a:lnTo>
                <a:pt x="120982" y="310551"/>
              </a:lnTo>
              <a:lnTo>
                <a:pt x="156855" y="299597"/>
              </a:lnTo>
              <a:lnTo>
                <a:pt x="200621" y="289324"/>
              </a:lnTo>
              <a:lnTo>
                <a:pt x="245991" y="281217"/>
              </a:lnTo>
              <a:lnTo>
                <a:pt x="290879" y="275475"/>
              </a:lnTo>
              <a:lnTo>
                <a:pt x="323000" y="275475"/>
              </a:lnTo>
              <a:lnTo>
                <a:pt x="316118" y="272481"/>
              </a:lnTo>
              <a:lnTo>
                <a:pt x="345132" y="271151"/>
              </a:lnTo>
              <a:lnTo>
                <a:pt x="411339" y="271151"/>
              </a:lnTo>
              <a:lnTo>
                <a:pt x="400227" y="265156"/>
              </a:lnTo>
              <a:lnTo>
                <a:pt x="384272" y="261787"/>
              </a:lnTo>
              <a:lnTo>
                <a:pt x="297296" y="261787"/>
              </a:lnTo>
              <a:lnTo>
                <a:pt x="287370" y="256106"/>
              </a:lnTo>
              <a:lnTo>
                <a:pt x="237556" y="215395"/>
              </a:lnTo>
              <a:lnTo>
                <a:pt x="204538" y="160522"/>
              </a:lnTo>
              <a:lnTo>
                <a:pt x="202375" y="154848"/>
              </a:lnTo>
              <a:close/>
            </a:path>
            <a:path w="420370" h="417195">
              <a:moveTo>
                <a:pt x="323000" y="275475"/>
              </a:moveTo>
              <a:lnTo>
                <a:pt x="290879" y="275475"/>
              </a:lnTo>
              <a:lnTo>
                <a:pt x="318951" y="288161"/>
              </a:lnTo>
              <a:lnTo>
                <a:pt x="346703" y="297719"/>
              </a:lnTo>
              <a:lnTo>
                <a:pt x="372208" y="303747"/>
              </a:lnTo>
              <a:lnTo>
                <a:pt x="393543" y="305846"/>
              </a:lnTo>
              <a:lnTo>
                <a:pt x="406804" y="305846"/>
              </a:lnTo>
              <a:lnTo>
                <a:pt x="414076" y="302852"/>
              </a:lnTo>
              <a:lnTo>
                <a:pt x="415038" y="299002"/>
              </a:lnTo>
              <a:lnTo>
                <a:pt x="402526" y="299002"/>
              </a:lnTo>
              <a:lnTo>
                <a:pt x="385596" y="297084"/>
              </a:lnTo>
              <a:lnTo>
                <a:pt x="364615" y="291677"/>
              </a:lnTo>
              <a:lnTo>
                <a:pt x="340988" y="283302"/>
              </a:lnTo>
              <a:lnTo>
                <a:pt x="323000" y="275475"/>
              </a:lnTo>
              <a:close/>
            </a:path>
            <a:path w="420370" h="417195">
              <a:moveTo>
                <a:pt x="415787" y="296008"/>
              </a:moveTo>
              <a:lnTo>
                <a:pt x="412792" y="297291"/>
              </a:lnTo>
              <a:lnTo>
                <a:pt x="408087" y="299002"/>
              </a:lnTo>
              <a:lnTo>
                <a:pt x="415038" y="299002"/>
              </a:lnTo>
              <a:lnTo>
                <a:pt x="415787" y="296008"/>
              </a:lnTo>
              <a:close/>
            </a:path>
            <a:path w="420370" h="417195">
              <a:moveTo>
                <a:pt x="411339" y="271151"/>
              </a:moveTo>
              <a:lnTo>
                <a:pt x="345132" y="271151"/>
              </a:lnTo>
              <a:lnTo>
                <a:pt x="378839" y="272107"/>
              </a:lnTo>
              <a:lnTo>
                <a:pt x="406530" y="277955"/>
              </a:lnTo>
              <a:lnTo>
                <a:pt x="417498" y="291302"/>
              </a:lnTo>
              <a:lnTo>
                <a:pt x="418781" y="288308"/>
              </a:lnTo>
              <a:lnTo>
                <a:pt x="420064" y="287025"/>
              </a:lnTo>
              <a:lnTo>
                <a:pt x="420064" y="284030"/>
              </a:lnTo>
              <a:lnTo>
                <a:pt x="414858" y="273049"/>
              </a:lnTo>
              <a:lnTo>
                <a:pt x="411339" y="271151"/>
              </a:lnTo>
              <a:close/>
            </a:path>
            <a:path w="420370" h="417195">
              <a:moveTo>
                <a:pt x="348628" y="258793"/>
              </a:moveTo>
              <a:lnTo>
                <a:pt x="337178" y="259080"/>
              </a:lnTo>
              <a:lnTo>
                <a:pt x="324726" y="259809"/>
              </a:lnTo>
              <a:lnTo>
                <a:pt x="297296" y="261787"/>
              </a:lnTo>
              <a:lnTo>
                <a:pt x="384272" y="261787"/>
              </a:lnTo>
              <a:lnTo>
                <a:pt x="377655" y="260390"/>
              </a:lnTo>
              <a:lnTo>
                <a:pt x="348628" y="258793"/>
              </a:lnTo>
              <a:close/>
            </a:path>
            <a:path w="420370" h="417195">
              <a:moveTo>
                <a:pt x="200193" y="35076"/>
              </a:moveTo>
              <a:lnTo>
                <a:pt x="197887" y="47708"/>
              </a:lnTo>
              <a:lnTo>
                <a:pt x="195335" y="63254"/>
              </a:lnTo>
              <a:lnTo>
                <a:pt x="191832" y="84040"/>
              </a:lnTo>
              <a:lnTo>
                <a:pt x="187420" y="107901"/>
              </a:lnTo>
              <a:lnTo>
                <a:pt x="187360" y="108222"/>
              </a:lnTo>
              <a:lnTo>
                <a:pt x="196012" y="108222"/>
              </a:lnTo>
              <a:lnTo>
                <a:pt x="196404" y="105455"/>
              </a:lnTo>
              <a:lnTo>
                <a:pt x="198322" y="81915"/>
              </a:lnTo>
              <a:lnTo>
                <a:pt x="199358" y="58696"/>
              </a:lnTo>
              <a:lnTo>
                <a:pt x="200193" y="35076"/>
              </a:lnTo>
              <a:close/>
            </a:path>
            <a:path w="420370" h="417195">
              <a:moveTo>
                <a:pt x="196068" y="2566"/>
              </a:moveTo>
              <a:lnTo>
                <a:pt x="185649" y="2566"/>
              </a:lnTo>
              <a:lnTo>
                <a:pt x="190268" y="5480"/>
              </a:lnTo>
              <a:lnTo>
                <a:pt x="194723" y="10232"/>
              </a:lnTo>
              <a:lnTo>
                <a:pt x="198222" y="17243"/>
              </a:lnTo>
              <a:lnTo>
                <a:pt x="200193" y="27376"/>
              </a:lnTo>
              <a:lnTo>
                <a:pt x="201797" y="11549"/>
              </a:lnTo>
              <a:lnTo>
                <a:pt x="198268" y="3422"/>
              </a:lnTo>
              <a:lnTo>
                <a:pt x="196068" y="2566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332640</xdr:colOff>
      <xdr:row>0</xdr:row>
      <xdr:rowOff>0</xdr:rowOff>
    </xdr:from>
    <xdr:to>
      <xdr:col>22</xdr:col>
      <xdr:colOff>180360</xdr:colOff>
      <xdr:row>0</xdr:row>
      <xdr:rowOff>401040</xdr:rowOff>
    </xdr:to>
    <xdr:sp>
      <xdr:nvSpPr>
        <xdr:cNvPr id="6" name="Shape 6"/>
        <xdr:cNvSpPr/>
      </xdr:nvSpPr>
      <xdr:spPr>
        <a:xfrm>
          <a:off x="13042080" y="0"/>
          <a:ext cx="403560" cy="401040"/>
        </a:xfrm>
        <a:custGeom>
          <a:avLst/>
          <a:gdLst/>
          <a:ahLst/>
          <a:rect l="l" t="t" r="r" b="b"/>
          <a:pathLst>
            <a:path w="403860" h="401320">
              <a:moveTo>
                <a:pt x="72743" y="316046"/>
              </a:moveTo>
              <a:lnTo>
                <a:pt x="37624" y="338881"/>
              </a:lnTo>
              <a:lnTo>
                <a:pt x="15257" y="360946"/>
              </a:lnTo>
              <a:lnTo>
                <a:pt x="3448" y="380083"/>
              </a:lnTo>
              <a:lnTo>
                <a:pt x="0" y="394133"/>
              </a:lnTo>
              <a:lnTo>
                <a:pt x="0" y="400707"/>
              </a:lnTo>
              <a:lnTo>
                <a:pt x="30829" y="400707"/>
              </a:lnTo>
              <a:lnTo>
                <a:pt x="33216" y="399887"/>
              </a:lnTo>
              <a:lnTo>
                <a:pt x="7808" y="399887"/>
              </a:lnTo>
              <a:lnTo>
                <a:pt x="11366" y="384937"/>
              </a:lnTo>
              <a:lnTo>
                <a:pt x="24556" y="363823"/>
              </a:lnTo>
              <a:lnTo>
                <a:pt x="45606" y="339780"/>
              </a:lnTo>
              <a:lnTo>
                <a:pt x="72743" y="316046"/>
              </a:lnTo>
              <a:close/>
            </a:path>
            <a:path w="403860" h="401320">
              <a:moveTo>
                <a:pt x="172612" y="0"/>
              </a:moveTo>
              <a:lnTo>
                <a:pt x="164534" y="5394"/>
              </a:lnTo>
              <a:lnTo>
                <a:pt x="160385" y="17877"/>
              </a:lnTo>
              <a:lnTo>
                <a:pt x="158935" y="31189"/>
              </a:lnTo>
              <a:lnTo>
                <a:pt x="158857" y="31902"/>
              </a:lnTo>
              <a:lnTo>
                <a:pt x="158737" y="37399"/>
              </a:lnTo>
              <a:lnTo>
                <a:pt x="158639" y="41920"/>
              </a:lnTo>
              <a:lnTo>
                <a:pt x="158934" y="50981"/>
              </a:lnTo>
              <a:lnTo>
                <a:pt x="164752" y="92535"/>
              </a:lnTo>
              <a:lnTo>
                <a:pt x="172612" y="126172"/>
              </a:lnTo>
              <a:lnTo>
                <a:pt x="166524" y="148451"/>
              </a:lnTo>
              <a:lnTo>
                <a:pt x="150076" y="190321"/>
              </a:lnTo>
              <a:lnTo>
                <a:pt x="125994" y="243392"/>
              </a:lnTo>
              <a:lnTo>
                <a:pt x="97001" y="299274"/>
              </a:lnTo>
              <a:lnTo>
                <a:pt x="65823" y="349577"/>
              </a:lnTo>
              <a:lnTo>
                <a:pt x="35183" y="385911"/>
              </a:lnTo>
              <a:lnTo>
                <a:pt x="7808" y="399887"/>
              </a:lnTo>
              <a:lnTo>
                <a:pt x="33216" y="399887"/>
              </a:lnTo>
              <a:lnTo>
                <a:pt x="34580" y="399418"/>
              </a:lnTo>
              <a:lnTo>
                <a:pt x="55842" y="380930"/>
              </a:lnTo>
              <a:lnTo>
                <a:pt x="81650" y="348186"/>
              </a:lnTo>
              <a:lnTo>
                <a:pt x="112198" y="299607"/>
              </a:lnTo>
              <a:lnTo>
                <a:pt x="116235" y="298374"/>
              </a:lnTo>
              <a:lnTo>
                <a:pt x="112198" y="298374"/>
              </a:lnTo>
              <a:lnTo>
                <a:pt x="141345" y="245004"/>
              </a:lnTo>
              <a:lnTo>
                <a:pt x="160745" y="204002"/>
              </a:lnTo>
              <a:lnTo>
                <a:pt x="172824" y="172786"/>
              </a:lnTo>
              <a:lnTo>
                <a:pt x="180010" y="148776"/>
              </a:lnTo>
              <a:lnTo>
                <a:pt x="194436" y="148776"/>
              </a:lnTo>
              <a:lnTo>
                <a:pt x="185353" y="124939"/>
              </a:lnTo>
              <a:lnTo>
                <a:pt x="188322" y="103978"/>
              </a:lnTo>
              <a:lnTo>
                <a:pt x="180010" y="103978"/>
              </a:lnTo>
              <a:lnTo>
                <a:pt x="175284" y="85947"/>
              </a:lnTo>
              <a:lnTo>
                <a:pt x="172098" y="68531"/>
              </a:lnTo>
              <a:lnTo>
                <a:pt x="170300" y="52194"/>
              </a:lnTo>
              <a:lnTo>
                <a:pt x="169735" y="37399"/>
              </a:lnTo>
              <a:lnTo>
                <a:pt x="169855" y="31902"/>
              </a:lnTo>
              <a:lnTo>
                <a:pt x="169870" y="31189"/>
              </a:lnTo>
              <a:lnTo>
                <a:pt x="170814" y="20703"/>
              </a:lnTo>
              <a:lnTo>
                <a:pt x="173376" y="9831"/>
              </a:lnTo>
              <a:lnTo>
                <a:pt x="178366" y="2465"/>
              </a:lnTo>
              <a:lnTo>
                <a:pt x="188376" y="2465"/>
              </a:lnTo>
              <a:lnTo>
                <a:pt x="183092" y="410"/>
              </a:lnTo>
              <a:lnTo>
                <a:pt x="172612" y="0"/>
              </a:lnTo>
              <a:close/>
            </a:path>
            <a:path w="403860" h="401320">
              <a:moveTo>
                <a:pt x="399475" y="297552"/>
              </a:moveTo>
              <a:lnTo>
                <a:pt x="387967" y="297552"/>
              </a:lnTo>
              <a:lnTo>
                <a:pt x="383446" y="301662"/>
              </a:lnTo>
              <a:lnTo>
                <a:pt x="383446" y="312758"/>
              </a:lnTo>
              <a:lnTo>
                <a:pt x="387967" y="316868"/>
              </a:lnTo>
              <a:lnTo>
                <a:pt x="399475" y="316868"/>
              </a:lnTo>
              <a:lnTo>
                <a:pt x="401530" y="314813"/>
              </a:lnTo>
              <a:lnTo>
                <a:pt x="389200" y="314813"/>
              </a:lnTo>
              <a:lnTo>
                <a:pt x="385501" y="311525"/>
              </a:lnTo>
              <a:lnTo>
                <a:pt x="385501" y="302895"/>
              </a:lnTo>
              <a:lnTo>
                <a:pt x="389200" y="299607"/>
              </a:lnTo>
              <a:lnTo>
                <a:pt x="401530" y="299607"/>
              </a:lnTo>
              <a:lnTo>
                <a:pt x="399475" y="297552"/>
              </a:lnTo>
              <a:close/>
            </a:path>
            <a:path w="403860" h="401320">
              <a:moveTo>
                <a:pt x="401530" y="299607"/>
              </a:moveTo>
              <a:lnTo>
                <a:pt x="398242" y="299607"/>
              </a:lnTo>
              <a:lnTo>
                <a:pt x="401119" y="302895"/>
              </a:lnTo>
              <a:lnTo>
                <a:pt x="401119" y="311525"/>
              </a:lnTo>
              <a:lnTo>
                <a:pt x="398242" y="314813"/>
              </a:lnTo>
              <a:lnTo>
                <a:pt x="401530" y="314813"/>
              </a:lnTo>
              <a:lnTo>
                <a:pt x="403584" y="312758"/>
              </a:lnTo>
              <a:lnTo>
                <a:pt x="403584" y="301662"/>
              </a:lnTo>
              <a:lnTo>
                <a:pt x="401530" y="299607"/>
              </a:lnTo>
              <a:close/>
            </a:path>
            <a:path w="403860" h="401320">
              <a:moveTo>
                <a:pt x="396187" y="300840"/>
              </a:moveTo>
              <a:lnTo>
                <a:pt x="389611" y="300840"/>
              </a:lnTo>
              <a:lnTo>
                <a:pt x="389611" y="312758"/>
              </a:lnTo>
              <a:lnTo>
                <a:pt x="391666" y="312758"/>
              </a:lnTo>
              <a:lnTo>
                <a:pt x="391666" y="308237"/>
              </a:lnTo>
              <a:lnTo>
                <a:pt x="396872" y="308237"/>
              </a:lnTo>
              <a:lnTo>
                <a:pt x="396598" y="307826"/>
              </a:lnTo>
              <a:lnTo>
                <a:pt x="395365" y="307415"/>
              </a:lnTo>
              <a:lnTo>
                <a:pt x="397831" y="306594"/>
              </a:lnTo>
              <a:lnTo>
                <a:pt x="391666" y="306594"/>
              </a:lnTo>
              <a:lnTo>
                <a:pt x="391666" y="303306"/>
              </a:lnTo>
              <a:lnTo>
                <a:pt x="397557" y="303306"/>
              </a:lnTo>
              <a:lnTo>
                <a:pt x="397488" y="302895"/>
              </a:lnTo>
              <a:lnTo>
                <a:pt x="397420" y="302484"/>
              </a:lnTo>
              <a:lnTo>
                <a:pt x="396187" y="300840"/>
              </a:lnTo>
              <a:close/>
            </a:path>
            <a:path w="403860" h="401320">
              <a:moveTo>
                <a:pt x="396872" y="308237"/>
              </a:moveTo>
              <a:lnTo>
                <a:pt x="394132" y="308237"/>
              </a:lnTo>
              <a:lnTo>
                <a:pt x="394954" y="309470"/>
              </a:lnTo>
              <a:lnTo>
                <a:pt x="395365" y="310703"/>
              </a:lnTo>
              <a:lnTo>
                <a:pt x="395776" y="312758"/>
              </a:lnTo>
              <a:lnTo>
                <a:pt x="397831" y="312758"/>
              </a:lnTo>
              <a:lnTo>
                <a:pt x="397420" y="310703"/>
              </a:lnTo>
              <a:lnTo>
                <a:pt x="397420" y="309059"/>
              </a:lnTo>
              <a:lnTo>
                <a:pt x="396872" y="308237"/>
              </a:lnTo>
              <a:close/>
            </a:path>
            <a:path w="403860" h="401320">
              <a:moveTo>
                <a:pt x="397557" y="303306"/>
              </a:moveTo>
              <a:lnTo>
                <a:pt x="394543" y="303306"/>
              </a:lnTo>
              <a:lnTo>
                <a:pt x="395365" y="303717"/>
              </a:lnTo>
              <a:lnTo>
                <a:pt x="395365" y="306183"/>
              </a:lnTo>
              <a:lnTo>
                <a:pt x="394132" y="306594"/>
              </a:lnTo>
              <a:lnTo>
                <a:pt x="397831" y="306594"/>
              </a:lnTo>
              <a:lnTo>
                <a:pt x="397831" y="304950"/>
              </a:lnTo>
              <a:lnTo>
                <a:pt x="397625" y="303717"/>
              </a:lnTo>
              <a:lnTo>
                <a:pt x="397557" y="303306"/>
              </a:lnTo>
              <a:close/>
            </a:path>
            <a:path w="403860" h="401320">
              <a:moveTo>
                <a:pt x="194436" y="148776"/>
              </a:moveTo>
              <a:lnTo>
                <a:pt x="180010" y="148776"/>
              </a:lnTo>
              <a:lnTo>
                <a:pt x="202190" y="193310"/>
              </a:lnTo>
              <a:lnTo>
                <a:pt x="225218" y="223626"/>
              </a:lnTo>
              <a:lnTo>
                <a:pt x="246705" y="242923"/>
              </a:lnTo>
              <a:lnTo>
                <a:pt x="264261" y="254399"/>
              </a:lnTo>
              <a:lnTo>
                <a:pt x="227070" y="261796"/>
              </a:lnTo>
              <a:lnTo>
                <a:pt x="188846" y="271454"/>
              </a:lnTo>
              <a:lnTo>
                <a:pt x="150060" y="283643"/>
              </a:lnTo>
              <a:lnTo>
                <a:pt x="112198" y="298374"/>
              </a:lnTo>
              <a:lnTo>
                <a:pt x="116235" y="298374"/>
              </a:lnTo>
              <a:lnTo>
                <a:pt x="150702" y="287849"/>
              </a:lnTo>
              <a:lnTo>
                <a:pt x="192750" y="277979"/>
              </a:lnTo>
              <a:lnTo>
                <a:pt x="236340" y="270189"/>
              </a:lnTo>
              <a:lnTo>
                <a:pt x="279468" y="264673"/>
              </a:lnTo>
              <a:lnTo>
                <a:pt x="310328" y="264673"/>
              </a:lnTo>
              <a:lnTo>
                <a:pt x="303716" y="261796"/>
              </a:lnTo>
              <a:lnTo>
                <a:pt x="331592" y="260518"/>
              </a:lnTo>
              <a:lnTo>
                <a:pt x="395202" y="260518"/>
              </a:lnTo>
              <a:lnTo>
                <a:pt x="384525" y="254758"/>
              </a:lnTo>
              <a:lnTo>
                <a:pt x="369196" y="251522"/>
              </a:lnTo>
              <a:lnTo>
                <a:pt x="285632" y="251522"/>
              </a:lnTo>
              <a:lnTo>
                <a:pt x="276096" y="246063"/>
              </a:lnTo>
              <a:lnTo>
                <a:pt x="228236" y="206949"/>
              </a:lnTo>
              <a:lnTo>
                <a:pt x="196513" y="154228"/>
              </a:lnTo>
              <a:lnTo>
                <a:pt x="194436" y="148776"/>
              </a:lnTo>
              <a:close/>
            </a:path>
            <a:path w="403860" h="401320">
              <a:moveTo>
                <a:pt x="310328" y="264673"/>
              </a:moveTo>
              <a:lnTo>
                <a:pt x="279468" y="264673"/>
              </a:lnTo>
              <a:lnTo>
                <a:pt x="306438" y="276861"/>
              </a:lnTo>
              <a:lnTo>
                <a:pt x="333101" y="286044"/>
              </a:lnTo>
              <a:lnTo>
                <a:pt x="357606" y="291837"/>
              </a:lnTo>
              <a:lnTo>
                <a:pt x="378104" y="293853"/>
              </a:lnTo>
              <a:lnTo>
                <a:pt x="390844" y="293853"/>
              </a:lnTo>
              <a:lnTo>
                <a:pt x="397831" y="290976"/>
              </a:lnTo>
              <a:lnTo>
                <a:pt x="398755" y="287277"/>
              </a:lnTo>
              <a:lnTo>
                <a:pt x="386734" y="287277"/>
              </a:lnTo>
              <a:lnTo>
                <a:pt x="370468" y="285434"/>
              </a:lnTo>
              <a:lnTo>
                <a:pt x="350311" y="280239"/>
              </a:lnTo>
              <a:lnTo>
                <a:pt x="327610" y="272193"/>
              </a:lnTo>
              <a:lnTo>
                <a:pt x="310328" y="264673"/>
              </a:lnTo>
              <a:close/>
            </a:path>
            <a:path w="403860" h="401320">
              <a:moveTo>
                <a:pt x="399475" y="284400"/>
              </a:moveTo>
              <a:lnTo>
                <a:pt x="396598" y="285633"/>
              </a:lnTo>
              <a:lnTo>
                <a:pt x="392077" y="287277"/>
              </a:lnTo>
              <a:lnTo>
                <a:pt x="398755" y="287277"/>
              </a:lnTo>
              <a:lnTo>
                <a:pt x="399475" y="284400"/>
              </a:lnTo>
              <a:close/>
            </a:path>
            <a:path w="403860" h="401320">
              <a:moveTo>
                <a:pt x="395202" y="260518"/>
              </a:moveTo>
              <a:lnTo>
                <a:pt x="331592" y="260518"/>
              </a:lnTo>
              <a:lnTo>
                <a:pt x="363976" y="261437"/>
              </a:lnTo>
              <a:lnTo>
                <a:pt x="390581" y="267056"/>
              </a:lnTo>
              <a:lnTo>
                <a:pt x="401119" y="279880"/>
              </a:lnTo>
              <a:lnTo>
                <a:pt x="402352" y="277003"/>
              </a:lnTo>
              <a:lnTo>
                <a:pt x="403580" y="275770"/>
              </a:lnTo>
              <a:lnTo>
                <a:pt x="403580" y="272893"/>
              </a:lnTo>
              <a:lnTo>
                <a:pt x="398582" y="262342"/>
              </a:lnTo>
              <a:lnTo>
                <a:pt x="395202" y="260518"/>
              </a:lnTo>
              <a:close/>
            </a:path>
            <a:path w="403860" h="401320">
              <a:moveTo>
                <a:pt x="334950" y="248645"/>
              </a:moveTo>
              <a:lnTo>
                <a:pt x="323950" y="248921"/>
              </a:lnTo>
              <a:lnTo>
                <a:pt x="311987" y="249621"/>
              </a:lnTo>
              <a:lnTo>
                <a:pt x="285632" y="251522"/>
              </a:lnTo>
              <a:lnTo>
                <a:pt x="369196" y="251522"/>
              </a:lnTo>
              <a:lnTo>
                <a:pt x="362839" y="250180"/>
              </a:lnTo>
              <a:lnTo>
                <a:pt x="334950" y="248645"/>
              </a:lnTo>
              <a:close/>
            </a:path>
            <a:path w="403860" h="401320">
              <a:moveTo>
                <a:pt x="192339" y="33700"/>
              </a:moveTo>
              <a:lnTo>
                <a:pt x="190124" y="45837"/>
              </a:lnTo>
              <a:lnTo>
                <a:pt x="187671" y="60774"/>
              </a:lnTo>
              <a:lnTo>
                <a:pt x="184306" y="80745"/>
              </a:lnTo>
              <a:lnTo>
                <a:pt x="180067" y="103670"/>
              </a:lnTo>
              <a:lnTo>
                <a:pt x="180010" y="103978"/>
              </a:lnTo>
              <a:lnTo>
                <a:pt x="188322" y="103978"/>
              </a:lnTo>
              <a:lnTo>
                <a:pt x="188698" y="101320"/>
              </a:lnTo>
              <a:lnTo>
                <a:pt x="190541" y="78703"/>
              </a:lnTo>
              <a:lnTo>
                <a:pt x="191537" y="56394"/>
              </a:lnTo>
              <a:lnTo>
                <a:pt x="192339" y="33700"/>
              </a:lnTo>
              <a:close/>
            </a:path>
            <a:path w="403860" h="401320">
              <a:moveTo>
                <a:pt x="188376" y="2465"/>
              </a:moveTo>
              <a:lnTo>
                <a:pt x="178366" y="2465"/>
              </a:lnTo>
              <a:lnTo>
                <a:pt x="182803" y="5265"/>
              </a:lnTo>
              <a:lnTo>
                <a:pt x="187083" y="9831"/>
              </a:lnTo>
              <a:lnTo>
                <a:pt x="190445" y="16567"/>
              </a:lnTo>
              <a:lnTo>
                <a:pt x="192339" y="26302"/>
              </a:lnTo>
              <a:lnTo>
                <a:pt x="193881" y="11096"/>
              </a:lnTo>
              <a:lnTo>
                <a:pt x="190490" y="3287"/>
              </a:lnTo>
              <a:lnTo>
                <a:pt x="188376" y="2465"/>
              </a:lnTo>
              <a:close/>
            </a:path>
          </a:pathLst>
        </a:custGeom>
        <a:solidFill>
          <a:srgbClr val="FFD8D8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458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2" topLeftCell="A292" activePane="bottomLeft" state="frozen"/>
      <selection pane="topLeft" activeCell="A1" activeCellId="0" sqref="A1"/>
      <selection pane="bottomLeft" activeCell="A305" activeCellId="0" sqref="305:308"/>
    </sheetView>
  </sheetViews>
  <sheetFormatPr defaultColWidth="14.00390625" defaultRowHeight="12.8" customHeight="false" zeroHeight="true" outlineLevelRow="0" outlineLevelCol="1"/>
  <cols>
    <col collapsed="false" customWidth="true" hidden="false" outlineLevel="0" max="1" min="1" style="1" width="20.5"/>
    <col collapsed="false" customWidth="true" hidden="false" outlineLevel="0" max="2" min="2" style="2" width="38.33"/>
    <col collapsed="false" customWidth="true" hidden="false" outlineLevel="0" max="3" min="3" style="3" width="10.83"/>
    <col collapsed="false" customWidth="true" hidden="false" outlineLevel="0" max="4" min="4" style="4" width="10.83"/>
    <col collapsed="false" customWidth="true" hidden="false" outlineLevel="0" max="5" min="5" style="5" width="8"/>
    <col collapsed="false" customWidth="true" hidden="false" outlineLevel="1" max="7" min="6" style="5" width="10.83"/>
    <col collapsed="false" customWidth="true" hidden="false" outlineLevel="1" max="8" min="8" style="5" width="11.33"/>
    <col collapsed="false" customWidth="true" hidden="false" outlineLevel="0" max="9" min="9" style="6" width="17.66"/>
    <col collapsed="false" customWidth="true" hidden="false" outlineLevel="0" max="10" min="10" style="4" width="8.16"/>
    <col collapsed="false" customWidth="true" hidden="false" outlineLevel="0" max="11" min="11" style="6" width="14.16"/>
    <col collapsed="false" customWidth="true" hidden="false" outlineLevel="0" max="12" min="12" style="6" width="12"/>
    <col collapsed="false" customWidth="true" hidden="false" outlineLevel="0" max="13" min="13" style="5" width="15.16"/>
    <col collapsed="false" customWidth="true" hidden="false" outlineLevel="0" max="15" min="14" style="5" width="14.5"/>
    <col collapsed="false" customWidth="true" hidden="false" outlineLevel="0" max="16" min="16" style="5" width="13"/>
    <col collapsed="false" customWidth="true" hidden="false" outlineLevel="0" max="17" min="17" style="5" width="11.66"/>
    <col collapsed="false" customWidth="true" hidden="false" outlineLevel="0" max="21" min="18" style="5" width="14.16"/>
    <col collapsed="false" customWidth="true" hidden="false" outlineLevel="0" max="26" min="22" style="5" width="15.83"/>
    <col collapsed="false" customWidth="true" hidden="false" outlineLevel="0" max="27" min="27" style="5" width="12.5"/>
    <col collapsed="false" customWidth="true" hidden="false" outlineLevel="0" max="28" min="28" style="5" width="17.5"/>
    <col collapsed="false" customWidth="true" hidden="false" outlineLevel="0" max="29" min="29" style="5" width="18.83"/>
    <col collapsed="false" customWidth="true" hidden="false" outlineLevel="0" max="30" min="30" style="5" width="12.66"/>
    <col collapsed="false" customWidth="true" hidden="false" outlineLevel="0" max="31" min="31" style="7" width="12.66"/>
    <col collapsed="false" customWidth="true" hidden="false" outlineLevel="0" max="32" min="32" style="8" width="46.83"/>
    <col collapsed="false" customWidth="true" hidden="true" outlineLevel="0" max="36" min="33" style="5" width="12.8"/>
    <col collapsed="false" customWidth="false" hidden="true" outlineLevel="0" max="16384" min="37" style="5" width="14"/>
  </cols>
  <sheetData>
    <row r="1" customFormat="false" ht="12.75" hidden="false" customHeight="false" outlineLevel="0" collapsed="false">
      <c r="I1" s="9"/>
      <c r="K1" s="9"/>
      <c r="L1" s="9"/>
    </row>
    <row r="2" s="19" customFormat="true" ht="59.25" hidden="false" customHeight="true" outlineLevel="0" collapsed="false">
      <c r="A2" s="10" t="s">
        <v>0</v>
      </c>
      <c r="B2" s="11" t="s">
        <v>1</v>
      </c>
      <c r="C2" s="11" t="s">
        <v>2</v>
      </c>
      <c r="D2" s="12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3" t="s">
        <v>8</v>
      </c>
      <c r="J2" s="12" t="s">
        <v>9</v>
      </c>
      <c r="K2" s="13" t="s">
        <v>10</v>
      </c>
      <c r="L2" s="13" t="s">
        <v>11</v>
      </c>
      <c r="M2" s="11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5" t="s">
        <v>27</v>
      </c>
      <c r="AC2" s="14" t="s">
        <v>28</v>
      </c>
      <c r="AD2" s="16" t="s">
        <v>29</v>
      </c>
      <c r="AE2" s="17" t="s">
        <v>30</v>
      </c>
      <c r="AF2" s="18" t="s">
        <v>31</v>
      </c>
    </row>
    <row r="3" customFormat="false" ht="15" hidden="false" customHeight="true" outlineLevel="0" collapsed="false">
      <c r="A3" s="20" t="s">
        <v>32</v>
      </c>
      <c r="B3" s="21"/>
      <c r="C3" s="22"/>
      <c r="D3" s="23"/>
      <c r="E3" s="21"/>
      <c r="F3" s="21"/>
      <c r="G3" s="21"/>
      <c r="H3" s="21"/>
      <c r="I3" s="21"/>
      <c r="J3" s="23"/>
      <c r="K3" s="21"/>
      <c r="L3" s="21"/>
      <c r="M3" s="24"/>
      <c r="N3" s="21" t="s">
        <v>33</v>
      </c>
      <c r="O3" s="21"/>
      <c r="P3" s="21" t="s">
        <v>33</v>
      </c>
      <c r="Q3" s="21"/>
      <c r="R3" s="21" t="s">
        <v>33</v>
      </c>
      <c r="S3" s="25" t="s">
        <v>34</v>
      </c>
      <c r="T3" s="26" t="s">
        <v>35</v>
      </c>
      <c r="U3" s="26" t="s">
        <v>35</v>
      </c>
      <c r="V3" s="21" t="s">
        <v>36</v>
      </c>
      <c r="W3" s="21" t="s">
        <v>36</v>
      </c>
      <c r="X3" s="21" t="s">
        <v>35</v>
      </c>
      <c r="Y3" s="21" t="s">
        <v>35</v>
      </c>
      <c r="Z3" s="21" t="s">
        <v>35</v>
      </c>
      <c r="AA3" s="21" t="s">
        <v>37</v>
      </c>
      <c r="AB3" s="21" t="s">
        <v>36</v>
      </c>
      <c r="AC3" s="21" t="s">
        <v>37</v>
      </c>
      <c r="AD3" s="27" t="s">
        <v>37</v>
      </c>
      <c r="AE3" s="28" t="n">
        <v>1</v>
      </c>
      <c r="AF3" s="29"/>
    </row>
    <row r="4" customFormat="false" ht="15" hidden="false" customHeight="true" outlineLevel="0" collapsed="false">
      <c r="A4" s="30" t="s">
        <v>38</v>
      </c>
      <c r="B4" s="31"/>
      <c r="C4" s="32"/>
      <c r="D4" s="33"/>
      <c r="E4" s="31"/>
      <c r="F4" s="31"/>
      <c r="G4" s="31"/>
      <c r="H4" s="34"/>
      <c r="I4" s="35"/>
      <c r="J4" s="33"/>
      <c r="K4" s="35"/>
      <c r="L4" s="35"/>
      <c r="M4" s="36" t="n">
        <v>1</v>
      </c>
      <c r="N4" s="37" t="n">
        <v>1</v>
      </c>
      <c r="O4" s="37"/>
      <c r="P4" s="37" t="n">
        <v>0</v>
      </c>
      <c r="Q4" s="37" t="n">
        <f aca="false">SUM(Q5)</f>
        <v>1</v>
      </c>
      <c r="R4" s="37" t="n">
        <v>0</v>
      </c>
      <c r="S4" s="37" t="n">
        <v>0</v>
      </c>
      <c r="T4" s="37" t="n">
        <v>0</v>
      </c>
      <c r="U4" s="37" t="n">
        <v>0</v>
      </c>
      <c r="V4" s="37" t="n">
        <v>0</v>
      </c>
      <c r="W4" s="37" t="n">
        <v>0</v>
      </c>
      <c r="X4" s="37" t="n">
        <v>0</v>
      </c>
      <c r="Y4" s="37" t="n">
        <v>0</v>
      </c>
      <c r="Z4" s="37" t="n">
        <v>0</v>
      </c>
      <c r="AA4" s="37" t="n">
        <v>5</v>
      </c>
      <c r="AB4" s="37" t="n">
        <v>0</v>
      </c>
      <c r="AC4" s="37" t="n">
        <v>0</v>
      </c>
      <c r="AD4" s="38" t="n">
        <v>0</v>
      </c>
      <c r="AE4" s="39" t="n">
        <v>2</v>
      </c>
      <c r="AF4" s="40"/>
    </row>
    <row r="5" customFormat="false" ht="14.15" hidden="false" customHeight="false" outlineLevel="0" collapsed="false">
      <c r="A5" s="41" t="s">
        <v>39</v>
      </c>
      <c r="B5" s="42" t="s">
        <v>40</v>
      </c>
      <c r="C5" s="43" t="s">
        <v>41</v>
      </c>
      <c r="D5" s="44" t="s">
        <v>42</v>
      </c>
      <c r="E5" s="42" t="s">
        <v>43</v>
      </c>
      <c r="F5" s="42" t="n">
        <v>7</v>
      </c>
      <c r="G5" s="42" t="n">
        <v>2</v>
      </c>
      <c r="H5" s="42" t="s">
        <v>44</v>
      </c>
      <c r="I5" s="45" t="s">
        <v>45</v>
      </c>
      <c r="J5" s="44"/>
      <c r="K5" s="46"/>
      <c r="L5" s="46"/>
      <c r="M5" s="47" t="n">
        <v>1</v>
      </c>
      <c r="N5" s="48" t="n">
        <v>1</v>
      </c>
      <c r="O5" s="48"/>
      <c r="P5" s="48" t="n">
        <v>0</v>
      </c>
      <c r="Q5" s="48" t="n">
        <v>1</v>
      </c>
      <c r="R5" s="48" t="n">
        <v>0</v>
      </c>
      <c r="S5" s="48" t="n">
        <v>0</v>
      </c>
      <c r="T5" s="48" t="n">
        <v>0</v>
      </c>
      <c r="U5" s="48" t="n">
        <v>0</v>
      </c>
      <c r="V5" s="48" t="n">
        <v>0</v>
      </c>
      <c r="W5" s="48" t="n">
        <v>0</v>
      </c>
      <c r="X5" s="48" t="n">
        <v>0</v>
      </c>
      <c r="Y5" s="48" t="n">
        <v>0</v>
      </c>
      <c r="Z5" s="48" t="n">
        <v>0</v>
      </c>
      <c r="AA5" s="48" t="n">
        <v>5</v>
      </c>
      <c r="AB5" s="48" t="n">
        <v>0</v>
      </c>
      <c r="AC5" s="48" t="n">
        <v>0</v>
      </c>
      <c r="AD5" s="49" t="n">
        <v>0</v>
      </c>
      <c r="AE5" s="39" t="n">
        <v>3</v>
      </c>
      <c r="AF5" s="50"/>
    </row>
    <row r="6" s="51" customFormat="true" ht="14.15" hidden="false" customHeight="false" outlineLevel="0" collapsed="false">
      <c r="A6" s="30" t="s">
        <v>46</v>
      </c>
      <c r="B6" s="31"/>
      <c r="C6" s="32"/>
      <c r="D6" s="33"/>
      <c r="E6" s="31"/>
      <c r="F6" s="31"/>
      <c r="G6" s="31"/>
      <c r="H6" s="34"/>
      <c r="I6" s="35"/>
      <c r="J6" s="33"/>
      <c r="K6" s="35"/>
      <c r="L6" s="35"/>
      <c r="M6" s="36" t="n">
        <f aca="false">SUM(M7:M55)</f>
        <v>49</v>
      </c>
      <c r="N6" s="37" t="n">
        <f aca="false">SUM(N7:N55)</f>
        <v>77</v>
      </c>
      <c r="O6" s="37"/>
      <c r="P6" s="37" t="n">
        <f aca="false">SUM(P7:P55)</f>
        <v>0</v>
      </c>
      <c r="Q6" s="37" t="n">
        <f aca="false">SUM(Q7:Q55)</f>
        <v>77</v>
      </c>
      <c r="R6" s="37" t="n">
        <f aca="false">SUM(R7:R55)</f>
        <v>0</v>
      </c>
      <c r="S6" s="37" t="n">
        <f aca="false">SUM(S7:S55)</f>
        <v>0</v>
      </c>
      <c r="T6" s="37" t="n">
        <f aca="false">SUM(T7:T55)</f>
        <v>0</v>
      </c>
      <c r="U6" s="37" t="n">
        <f aca="false">SUM(U7:U55)</f>
        <v>0</v>
      </c>
      <c r="V6" s="37" t="n">
        <f aca="false">SUM(V7:V55)</f>
        <v>0</v>
      </c>
      <c r="W6" s="37" t="n">
        <f aca="false">SUM(W7:W55)</f>
        <v>0</v>
      </c>
      <c r="X6" s="37" t="n">
        <f aca="false">SUM(X7:X55)</f>
        <v>78</v>
      </c>
      <c r="Y6" s="37" t="n">
        <f aca="false">SUM(Y7:Y55)</f>
        <v>0</v>
      </c>
      <c r="Z6" s="37" t="n">
        <f aca="false">SUM(Z7:Z55)</f>
        <v>0</v>
      </c>
      <c r="AA6" s="37" t="n">
        <f aca="false">SUM(AA7:AA55)</f>
        <v>0</v>
      </c>
      <c r="AB6" s="37" t="n">
        <f aca="false">SUM(AB7:AB55)</f>
        <v>0</v>
      </c>
      <c r="AC6" s="37" t="n">
        <f aca="false">SUM(AC7:AC55)</f>
        <v>0</v>
      </c>
      <c r="AD6" s="38" t="n">
        <f aca="false">SUM(AD7:AD55)</f>
        <v>0</v>
      </c>
      <c r="AE6" s="39" t="n">
        <v>4</v>
      </c>
      <c r="AF6" s="40"/>
    </row>
    <row r="7" customFormat="false" ht="14.15" hidden="false" customHeight="false" outlineLevel="0" collapsed="false">
      <c r="A7" s="52" t="s">
        <v>47</v>
      </c>
      <c r="B7" s="46" t="s">
        <v>48</v>
      </c>
      <c r="C7" s="53" t="s">
        <v>41</v>
      </c>
      <c r="D7" s="54" t="s">
        <v>49</v>
      </c>
      <c r="E7" s="55" t="s">
        <v>43</v>
      </c>
      <c r="F7" s="55" t="n">
        <v>2</v>
      </c>
      <c r="G7" s="55" t="n">
        <v>1</v>
      </c>
      <c r="H7" s="42" t="s">
        <v>44</v>
      </c>
      <c r="I7" s="56" t="str">
        <f aca="false">A7</f>
        <v>A1.020.014</v>
      </c>
      <c r="J7" s="54"/>
      <c r="K7" s="56" t="s">
        <v>50</v>
      </c>
      <c r="L7" s="56"/>
      <c r="M7" s="47" t="n">
        <v>1</v>
      </c>
      <c r="N7" s="48" t="n">
        <v>1</v>
      </c>
      <c r="O7" s="48"/>
      <c r="P7" s="48" t="n">
        <v>0</v>
      </c>
      <c r="Q7" s="48" t="n">
        <v>1</v>
      </c>
      <c r="R7" s="48" t="n">
        <v>0</v>
      </c>
      <c r="S7" s="48" t="n">
        <v>0</v>
      </c>
      <c r="T7" s="48" t="n">
        <v>0</v>
      </c>
      <c r="U7" s="48" t="n">
        <v>0</v>
      </c>
      <c r="V7" s="48" t="n">
        <v>0</v>
      </c>
      <c r="W7" s="48" t="n">
        <v>0</v>
      </c>
      <c r="X7" s="48" t="n">
        <v>1</v>
      </c>
      <c r="Y7" s="48" t="n">
        <v>0</v>
      </c>
      <c r="Z7" s="48" t="n">
        <v>0</v>
      </c>
      <c r="AA7" s="48" t="n">
        <v>0</v>
      </c>
      <c r="AB7" s="48" t="n">
        <v>0</v>
      </c>
      <c r="AC7" s="48" t="n">
        <v>0</v>
      </c>
      <c r="AD7" s="49" t="n">
        <v>0</v>
      </c>
      <c r="AE7" s="28" t="n">
        <v>5</v>
      </c>
      <c r="AF7" s="57"/>
    </row>
    <row r="8" customFormat="false" ht="14.15" hidden="false" customHeight="false" outlineLevel="0" collapsed="false">
      <c r="A8" s="58" t="s">
        <v>51</v>
      </c>
      <c r="B8" s="46" t="s">
        <v>52</v>
      </c>
      <c r="C8" s="59" t="s">
        <v>41</v>
      </c>
      <c r="D8" s="44" t="s">
        <v>49</v>
      </c>
      <c r="E8" s="42" t="s">
        <v>43</v>
      </c>
      <c r="F8" s="46" t="n">
        <v>1</v>
      </c>
      <c r="G8" s="46" t="n">
        <v>1</v>
      </c>
      <c r="H8" s="42" t="s">
        <v>44</v>
      </c>
      <c r="I8" s="56" t="str">
        <f aca="false">A8</f>
        <v>A1.020.016</v>
      </c>
      <c r="J8" s="44"/>
      <c r="K8" s="46"/>
      <c r="L8" s="46"/>
      <c r="M8" s="60" t="n">
        <v>1</v>
      </c>
      <c r="N8" s="61" t="n">
        <v>2</v>
      </c>
      <c r="O8" s="61"/>
      <c r="P8" s="61" t="n">
        <v>0</v>
      </c>
      <c r="Q8" s="61" t="n">
        <v>2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0</v>
      </c>
      <c r="W8" s="61" t="n">
        <v>0</v>
      </c>
      <c r="X8" s="61" t="n">
        <v>4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2" t="n">
        <v>0</v>
      </c>
      <c r="AE8" s="28" t="n">
        <v>6</v>
      </c>
      <c r="AF8" s="50"/>
    </row>
    <row r="9" customFormat="false" ht="14.15" hidden="false" customHeight="false" outlineLevel="0" collapsed="false">
      <c r="A9" s="58" t="s">
        <v>53</v>
      </c>
      <c r="B9" s="46" t="s">
        <v>54</v>
      </c>
      <c r="C9" s="53" t="s">
        <v>41</v>
      </c>
      <c r="D9" s="54" t="s">
        <v>49</v>
      </c>
      <c r="E9" s="42" t="s">
        <v>43</v>
      </c>
      <c r="F9" s="46" t="n">
        <v>4</v>
      </c>
      <c r="G9" s="55" t="n">
        <v>2</v>
      </c>
      <c r="H9" s="42" t="s">
        <v>44</v>
      </c>
      <c r="I9" s="56" t="str">
        <f aca="false">A9</f>
        <v>A1.030.010</v>
      </c>
      <c r="J9" s="54"/>
      <c r="K9" s="46"/>
      <c r="L9" s="46"/>
      <c r="M9" s="60" t="n">
        <v>1</v>
      </c>
      <c r="N9" s="61" t="n">
        <v>1</v>
      </c>
      <c r="O9" s="61"/>
      <c r="P9" s="61" t="n">
        <v>0</v>
      </c>
      <c r="Q9" s="61" t="n">
        <v>1</v>
      </c>
      <c r="R9" s="61" t="n">
        <v>0</v>
      </c>
      <c r="S9" s="61" t="n">
        <v>0</v>
      </c>
      <c r="T9" s="61" t="n">
        <v>0</v>
      </c>
      <c r="U9" s="61" t="n">
        <v>0</v>
      </c>
      <c r="V9" s="61" t="n">
        <v>0</v>
      </c>
      <c r="W9" s="61" t="n">
        <v>0</v>
      </c>
      <c r="X9" s="61" t="n">
        <v>1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62" t="n">
        <v>0</v>
      </c>
      <c r="AE9" s="39" t="n">
        <v>7</v>
      </c>
      <c r="AF9" s="50"/>
    </row>
    <row r="10" customFormat="false" ht="14.15" hidden="false" customHeight="false" outlineLevel="0" collapsed="false">
      <c r="A10" s="58" t="s">
        <v>55</v>
      </c>
      <c r="B10" s="46" t="s">
        <v>56</v>
      </c>
      <c r="C10" s="59" t="s">
        <v>41</v>
      </c>
      <c r="D10" s="63" t="s">
        <v>49</v>
      </c>
      <c r="E10" s="46" t="s">
        <v>57</v>
      </c>
      <c r="F10" s="46" t="n">
        <v>1</v>
      </c>
      <c r="G10" s="46" t="n">
        <v>1</v>
      </c>
      <c r="H10" s="42" t="s">
        <v>58</v>
      </c>
      <c r="I10" s="56" t="str">
        <f aca="false">A10</f>
        <v>A2.020.004</v>
      </c>
      <c r="J10" s="63"/>
      <c r="K10" s="46"/>
      <c r="L10" s="46"/>
      <c r="M10" s="60" t="n">
        <v>1</v>
      </c>
      <c r="N10" s="61" t="n">
        <v>4</v>
      </c>
      <c r="O10" s="61"/>
      <c r="P10" s="61" t="n">
        <v>0</v>
      </c>
      <c r="Q10" s="61" t="n">
        <v>4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0</v>
      </c>
      <c r="W10" s="61" t="n">
        <v>0</v>
      </c>
      <c r="X10" s="61" t="n">
        <v>3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2" t="n">
        <v>0</v>
      </c>
      <c r="AE10" s="39" t="n">
        <v>8</v>
      </c>
      <c r="AF10" s="50"/>
    </row>
    <row r="11" customFormat="false" ht="14.15" hidden="false" customHeight="false" outlineLevel="0" collapsed="false">
      <c r="A11" s="58" t="s">
        <v>59</v>
      </c>
      <c r="B11" s="46" t="s">
        <v>60</v>
      </c>
      <c r="C11" s="53" t="s">
        <v>41</v>
      </c>
      <c r="D11" s="54" t="s">
        <v>49</v>
      </c>
      <c r="E11" s="46" t="s">
        <v>57</v>
      </c>
      <c r="F11" s="46" t="n">
        <v>3</v>
      </c>
      <c r="G11" s="55" t="n">
        <v>1</v>
      </c>
      <c r="H11" s="42" t="s">
        <v>58</v>
      </c>
      <c r="I11" s="56" t="str">
        <f aca="false">A11</f>
        <v>A2.020.032</v>
      </c>
      <c r="J11" s="54"/>
      <c r="K11" s="46"/>
      <c r="L11" s="46"/>
      <c r="M11" s="60" t="n">
        <v>1</v>
      </c>
      <c r="N11" s="61" t="n">
        <v>1</v>
      </c>
      <c r="O11" s="61"/>
      <c r="P11" s="61" t="n">
        <v>0</v>
      </c>
      <c r="Q11" s="61" t="n">
        <v>1</v>
      </c>
      <c r="R11" s="61" t="n">
        <v>0</v>
      </c>
      <c r="S11" s="61" t="n">
        <v>0</v>
      </c>
      <c r="T11" s="61" t="n">
        <v>0</v>
      </c>
      <c r="U11" s="61" t="n">
        <v>0</v>
      </c>
      <c r="V11" s="61" t="n">
        <v>0</v>
      </c>
      <c r="W11" s="61" t="n">
        <v>0</v>
      </c>
      <c r="X11" s="61" t="n">
        <v>1</v>
      </c>
      <c r="Y11" s="61" t="n">
        <v>0</v>
      </c>
      <c r="Z11" s="61" t="n">
        <v>0</v>
      </c>
      <c r="AA11" s="61" t="n">
        <v>0</v>
      </c>
      <c r="AB11" s="61" t="n">
        <v>0</v>
      </c>
      <c r="AC11" s="61" t="n">
        <v>0</v>
      </c>
      <c r="AD11" s="62" t="n">
        <v>0</v>
      </c>
      <c r="AE11" s="39" t="n">
        <v>9</v>
      </c>
      <c r="AF11" s="50"/>
    </row>
    <row r="12" customFormat="false" ht="14.15" hidden="false" customHeight="false" outlineLevel="0" collapsed="false">
      <c r="A12" s="58" t="s">
        <v>61</v>
      </c>
      <c r="B12" s="46" t="s">
        <v>62</v>
      </c>
      <c r="C12" s="59" t="s">
        <v>41</v>
      </c>
      <c r="D12" s="44" t="s">
        <v>49</v>
      </c>
      <c r="E12" s="46" t="s">
        <v>57</v>
      </c>
      <c r="F12" s="46" t="n">
        <v>3</v>
      </c>
      <c r="G12" s="46" t="n">
        <v>1</v>
      </c>
      <c r="H12" s="42" t="s">
        <v>58</v>
      </c>
      <c r="I12" s="56" t="str">
        <f aca="false">A12</f>
        <v>A2.020.033</v>
      </c>
      <c r="J12" s="44"/>
      <c r="K12" s="46"/>
      <c r="L12" s="46"/>
      <c r="M12" s="60" t="n">
        <v>1</v>
      </c>
      <c r="N12" s="61" t="n">
        <v>1</v>
      </c>
      <c r="O12" s="61"/>
      <c r="P12" s="61" t="n">
        <v>0</v>
      </c>
      <c r="Q12" s="61" t="n">
        <v>1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1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2" t="n">
        <v>0</v>
      </c>
      <c r="AE12" s="28" t="n">
        <v>10</v>
      </c>
      <c r="AF12" s="50"/>
    </row>
    <row r="13" customFormat="false" ht="14.15" hidden="false" customHeight="false" outlineLevel="0" collapsed="false">
      <c r="A13" s="58" t="s">
        <v>63</v>
      </c>
      <c r="B13" s="46" t="s">
        <v>64</v>
      </c>
      <c r="C13" s="53" t="s">
        <v>41</v>
      </c>
      <c r="D13" s="54" t="s">
        <v>49</v>
      </c>
      <c r="E13" s="46" t="s">
        <v>57</v>
      </c>
      <c r="F13" s="46" t="n">
        <v>1</v>
      </c>
      <c r="G13" s="55" t="n">
        <v>1</v>
      </c>
      <c r="H13" s="42" t="s">
        <v>58</v>
      </c>
      <c r="I13" s="56" t="str">
        <f aca="false">A13</f>
        <v>A2.020.037</v>
      </c>
      <c r="J13" s="54"/>
      <c r="K13" s="46"/>
      <c r="L13" s="46"/>
      <c r="M13" s="60" t="n">
        <v>1</v>
      </c>
      <c r="N13" s="61" t="n">
        <v>1</v>
      </c>
      <c r="O13" s="61"/>
      <c r="P13" s="61" t="n">
        <v>0</v>
      </c>
      <c r="Q13" s="61" t="n">
        <v>1</v>
      </c>
      <c r="R13" s="61" t="n">
        <v>0</v>
      </c>
      <c r="S13" s="61" t="n">
        <v>0</v>
      </c>
      <c r="T13" s="61" t="n">
        <v>0</v>
      </c>
      <c r="U13" s="61" t="n">
        <v>0</v>
      </c>
      <c r="V13" s="61" t="n">
        <v>0</v>
      </c>
      <c r="W13" s="61" t="n">
        <v>0</v>
      </c>
      <c r="X13" s="61" t="n">
        <v>1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2" t="n">
        <v>0</v>
      </c>
      <c r="AE13" s="28" t="n">
        <v>11</v>
      </c>
      <c r="AF13" s="50"/>
    </row>
    <row r="14" customFormat="false" ht="14.15" hidden="false" customHeight="false" outlineLevel="0" collapsed="false">
      <c r="A14" s="58" t="s">
        <v>65</v>
      </c>
      <c r="B14" s="46" t="s">
        <v>66</v>
      </c>
      <c r="C14" s="59" t="s">
        <v>41</v>
      </c>
      <c r="D14" s="63" t="s">
        <v>49</v>
      </c>
      <c r="E14" s="46" t="s">
        <v>57</v>
      </c>
      <c r="F14" s="46" t="n">
        <v>1</v>
      </c>
      <c r="G14" s="46" t="n">
        <v>1</v>
      </c>
      <c r="H14" s="42" t="s">
        <v>58</v>
      </c>
      <c r="I14" s="56" t="str">
        <f aca="false">A14</f>
        <v>A2.020.038</v>
      </c>
      <c r="J14" s="63"/>
      <c r="K14" s="46"/>
      <c r="L14" s="46"/>
      <c r="M14" s="60" t="n">
        <v>1</v>
      </c>
      <c r="N14" s="61" t="n">
        <v>1</v>
      </c>
      <c r="O14" s="61"/>
      <c r="P14" s="61" t="n">
        <v>0</v>
      </c>
      <c r="Q14" s="61" t="n">
        <v>1</v>
      </c>
      <c r="R14" s="61" t="n">
        <v>0</v>
      </c>
      <c r="S14" s="61" t="n">
        <v>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1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2" t="n">
        <v>0</v>
      </c>
      <c r="AE14" s="39" t="n">
        <v>12</v>
      </c>
      <c r="AF14" s="50"/>
    </row>
    <row r="15" customFormat="false" ht="14.15" hidden="false" customHeight="false" outlineLevel="0" collapsed="false">
      <c r="A15" s="58" t="s">
        <v>67</v>
      </c>
      <c r="B15" s="46" t="s">
        <v>68</v>
      </c>
      <c r="C15" s="53" t="s">
        <v>41</v>
      </c>
      <c r="D15" s="54" t="s">
        <v>49</v>
      </c>
      <c r="E15" s="46" t="s">
        <v>57</v>
      </c>
      <c r="F15" s="46" t="n">
        <v>4</v>
      </c>
      <c r="G15" s="55" t="n">
        <v>2</v>
      </c>
      <c r="H15" s="42" t="s">
        <v>58</v>
      </c>
      <c r="I15" s="56" t="str">
        <f aca="false">A15</f>
        <v>A2.030.009</v>
      </c>
      <c r="J15" s="54"/>
      <c r="K15" s="46"/>
      <c r="L15" s="46"/>
      <c r="M15" s="60" t="n">
        <v>1</v>
      </c>
      <c r="N15" s="61" t="n">
        <v>1</v>
      </c>
      <c r="O15" s="61"/>
      <c r="P15" s="61" t="n">
        <v>0</v>
      </c>
      <c r="Q15" s="61" t="n">
        <v>1</v>
      </c>
      <c r="R15" s="61" t="n">
        <v>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0</v>
      </c>
      <c r="X15" s="61" t="n">
        <v>1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2" t="n">
        <v>0</v>
      </c>
      <c r="AE15" s="39" t="n">
        <v>13</v>
      </c>
      <c r="AF15" s="50"/>
    </row>
    <row r="16" customFormat="false" ht="15" hidden="false" customHeight="true" outlineLevel="0" collapsed="false">
      <c r="A16" s="58" t="s">
        <v>69</v>
      </c>
      <c r="B16" s="46" t="s">
        <v>70</v>
      </c>
      <c r="C16" s="59" t="s">
        <v>41</v>
      </c>
      <c r="D16" s="44" t="s">
        <v>49</v>
      </c>
      <c r="E16" s="46" t="s">
        <v>71</v>
      </c>
      <c r="F16" s="46" t="n">
        <v>2</v>
      </c>
      <c r="G16" s="46" t="n">
        <v>1</v>
      </c>
      <c r="H16" s="42" t="s">
        <v>72</v>
      </c>
      <c r="I16" s="56" t="str">
        <f aca="false">A16</f>
        <v>S1.020.103</v>
      </c>
      <c r="J16" s="44"/>
      <c r="K16" s="46"/>
      <c r="L16" s="46"/>
      <c r="M16" s="60" t="n">
        <v>1</v>
      </c>
      <c r="N16" s="61" t="n">
        <v>1</v>
      </c>
      <c r="O16" s="61"/>
      <c r="P16" s="61" t="n">
        <v>0</v>
      </c>
      <c r="Q16" s="61" t="n">
        <v>1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1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2" t="n">
        <v>0</v>
      </c>
      <c r="AE16" s="39" t="n">
        <v>14</v>
      </c>
      <c r="AF16" s="50"/>
    </row>
    <row r="17" customFormat="false" ht="14.15" hidden="false" customHeight="false" outlineLevel="0" collapsed="false">
      <c r="A17" s="58" t="s">
        <v>73</v>
      </c>
      <c r="B17" s="46" t="s">
        <v>74</v>
      </c>
      <c r="C17" s="53" t="s">
        <v>41</v>
      </c>
      <c r="D17" s="54" t="s">
        <v>49</v>
      </c>
      <c r="E17" s="46" t="s">
        <v>71</v>
      </c>
      <c r="F17" s="46" t="n">
        <v>2</v>
      </c>
      <c r="G17" s="55" t="n">
        <v>1</v>
      </c>
      <c r="H17" s="42" t="s">
        <v>72</v>
      </c>
      <c r="I17" s="56" t="str">
        <f aca="false">A17</f>
        <v>S1.020.116</v>
      </c>
      <c r="J17" s="54"/>
      <c r="K17" s="46"/>
      <c r="L17" s="46"/>
      <c r="M17" s="60" t="n">
        <v>1</v>
      </c>
      <c r="N17" s="61" t="n">
        <v>1</v>
      </c>
      <c r="O17" s="61"/>
      <c r="P17" s="61" t="n">
        <v>0</v>
      </c>
      <c r="Q17" s="61" t="n">
        <v>1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1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2" t="n">
        <v>0</v>
      </c>
      <c r="AE17" s="28" t="n">
        <v>15</v>
      </c>
      <c r="AF17" s="50"/>
    </row>
    <row r="18" customFormat="false" ht="14.15" hidden="false" customHeight="false" outlineLevel="0" collapsed="false">
      <c r="A18" s="58" t="s">
        <v>75</v>
      </c>
      <c r="B18" s="46" t="s">
        <v>76</v>
      </c>
      <c r="C18" s="59" t="s">
        <v>41</v>
      </c>
      <c r="D18" s="63" t="s">
        <v>49</v>
      </c>
      <c r="E18" s="46" t="s">
        <v>71</v>
      </c>
      <c r="F18" s="46" t="n">
        <v>1</v>
      </c>
      <c r="G18" s="46" t="n">
        <v>1</v>
      </c>
      <c r="H18" s="42" t="s">
        <v>72</v>
      </c>
      <c r="I18" s="56" t="str">
        <f aca="false">A18</f>
        <v>S1.020.142</v>
      </c>
      <c r="J18" s="63"/>
      <c r="K18" s="46"/>
      <c r="L18" s="46"/>
      <c r="M18" s="60" t="n">
        <v>1</v>
      </c>
      <c r="N18" s="61" t="n">
        <v>1</v>
      </c>
      <c r="O18" s="61"/>
      <c r="P18" s="61" t="n">
        <v>0</v>
      </c>
      <c r="Q18" s="61" t="n">
        <v>1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1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2" t="n">
        <v>0</v>
      </c>
      <c r="AE18" s="28" t="n">
        <v>16</v>
      </c>
      <c r="AF18" s="50"/>
    </row>
    <row r="19" customFormat="false" ht="15" hidden="false" customHeight="true" outlineLevel="0" collapsed="false">
      <c r="A19" s="58" t="s">
        <v>77</v>
      </c>
      <c r="B19" s="46" t="s">
        <v>78</v>
      </c>
      <c r="C19" s="53" t="s">
        <v>41</v>
      </c>
      <c r="D19" s="54" t="s">
        <v>49</v>
      </c>
      <c r="E19" s="46" t="s">
        <v>71</v>
      </c>
      <c r="F19" s="46" t="n">
        <v>1</v>
      </c>
      <c r="G19" s="55" t="n">
        <v>1</v>
      </c>
      <c r="H19" s="42" t="s">
        <v>72</v>
      </c>
      <c r="I19" s="56" t="str">
        <f aca="false">A19</f>
        <v>S1.020.143</v>
      </c>
      <c r="J19" s="54"/>
      <c r="K19" s="46"/>
      <c r="L19" s="46"/>
      <c r="M19" s="60" t="n">
        <v>1</v>
      </c>
      <c r="N19" s="61" t="n">
        <v>1</v>
      </c>
      <c r="O19" s="61"/>
      <c r="P19" s="61" t="n">
        <v>0</v>
      </c>
      <c r="Q19" s="61" t="n">
        <v>1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1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2" t="n">
        <v>0</v>
      </c>
      <c r="AE19" s="39" t="n">
        <v>17</v>
      </c>
      <c r="AF19" s="50"/>
    </row>
    <row r="20" customFormat="false" ht="15" hidden="false" customHeight="true" outlineLevel="0" collapsed="false">
      <c r="A20" s="58" t="s">
        <v>79</v>
      </c>
      <c r="B20" s="46" t="s">
        <v>80</v>
      </c>
      <c r="C20" s="59" t="s">
        <v>41</v>
      </c>
      <c r="D20" s="44" t="s">
        <v>49</v>
      </c>
      <c r="E20" s="46" t="s">
        <v>71</v>
      </c>
      <c r="F20" s="46" t="n">
        <v>1</v>
      </c>
      <c r="G20" s="46" t="n">
        <v>1</v>
      </c>
      <c r="H20" s="42" t="s">
        <v>72</v>
      </c>
      <c r="I20" s="56" t="str">
        <f aca="false">A20</f>
        <v>S1.020.145</v>
      </c>
      <c r="J20" s="44"/>
      <c r="K20" s="46"/>
      <c r="L20" s="46"/>
      <c r="M20" s="60" t="n">
        <v>1</v>
      </c>
      <c r="N20" s="61" t="n">
        <v>4</v>
      </c>
      <c r="O20" s="61"/>
      <c r="P20" s="61" t="n">
        <v>0</v>
      </c>
      <c r="Q20" s="61" t="n">
        <v>4</v>
      </c>
      <c r="R20" s="61" t="n">
        <v>0</v>
      </c>
      <c r="S20" s="61" t="n">
        <v>0</v>
      </c>
      <c r="T20" s="61" t="n">
        <v>0</v>
      </c>
      <c r="U20" s="61" t="n">
        <v>0</v>
      </c>
      <c r="V20" s="61" t="n">
        <v>0</v>
      </c>
      <c r="W20" s="61" t="n">
        <v>0</v>
      </c>
      <c r="X20" s="61" t="n">
        <v>4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2" t="n">
        <v>0</v>
      </c>
      <c r="AE20" s="39" t="n">
        <v>18</v>
      </c>
      <c r="AF20" s="50"/>
    </row>
    <row r="21" customFormat="false" ht="15" hidden="false" customHeight="true" outlineLevel="0" collapsed="false">
      <c r="A21" s="58" t="s">
        <v>81</v>
      </c>
      <c r="B21" s="46" t="s">
        <v>82</v>
      </c>
      <c r="C21" s="53" t="s">
        <v>41</v>
      </c>
      <c r="D21" s="54" t="s">
        <v>49</v>
      </c>
      <c r="E21" s="46" t="s">
        <v>83</v>
      </c>
      <c r="F21" s="46" t="n">
        <v>2</v>
      </c>
      <c r="G21" s="55" t="n">
        <v>1</v>
      </c>
      <c r="H21" s="42" t="s">
        <v>84</v>
      </c>
      <c r="I21" s="56" t="str">
        <f aca="false">A21</f>
        <v>S2.020.203</v>
      </c>
      <c r="J21" s="54"/>
      <c r="K21" s="46"/>
      <c r="L21" s="46"/>
      <c r="M21" s="60" t="n">
        <v>1</v>
      </c>
      <c r="N21" s="61" t="n">
        <v>1</v>
      </c>
      <c r="O21" s="61"/>
      <c r="P21" s="61" t="n">
        <v>0</v>
      </c>
      <c r="Q21" s="61" t="n">
        <v>1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1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2" t="n">
        <v>0</v>
      </c>
      <c r="AE21" s="39" t="n">
        <v>19</v>
      </c>
      <c r="AF21" s="50"/>
    </row>
    <row r="22" customFormat="false" ht="15" hidden="false" customHeight="true" outlineLevel="0" collapsed="false">
      <c r="A22" s="58" t="s">
        <v>85</v>
      </c>
      <c r="B22" s="46" t="s">
        <v>86</v>
      </c>
      <c r="C22" s="59" t="s">
        <v>41</v>
      </c>
      <c r="D22" s="63" t="s">
        <v>49</v>
      </c>
      <c r="E22" s="46" t="s">
        <v>83</v>
      </c>
      <c r="F22" s="46" t="n">
        <v>2</v>
      </c>
      <c r="G22" s="46" t="n">
        <v>1</v>
      </c>
      <c r="H22" s="42" t="s">
        <v>84</v>
      </c>
      <c r="I22" s="56" t="str">
        <f aca="false">A22</f>
        <v>S2.020.216</v>
      </c>
      <c r="J22" s="63"/>
      <c r="K22" s="46"/>
      <c r="L22" s="46"/>
      <c r="M22" s="60" t="n">
        <v>1</v>
      </c>
      <c r="N22" s="61" t="n">
        <v>1</v>
      </c>
      <c r="O22" s="61"/>
      <c r="P22" s="61" t="n">
        <v>0</v>
      </c>
      <c r="Q22" s="61" t="n">
        <v>1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1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2" t="n">
        <v>0</v>
      </c>
      <c r="AE22" s="28" t="n">
        <v>20</v>
      </c>
      <c r="AF22" s="50"/>
    </row>
    <row r="23" customFormat="false" ht="15" hidden="false" customHeight="true" outlineLevel="0" collapsed="false">
      <c r="A23" s="58" t="s">
        <v>87</v>
      </c>
      <c r="B23" s="46" t="s">
        <v>88</v>
      </c>
      <c r="C23" s="53" t="s">
        <v>41</v>
      </c>
      <c r="D23" s="54" t="s">
        <v>49</v>
      </c>
      <c r="E23" s="46" t="s">
        <v>83</v>
      </c>
      <c r="F23" s="46" t="n">
        <v>1</v>
      </c>
      <c r="G23" s="55" t="n">
        <v>1</v>
      </c>
      <c r="H23" s="42" t="s">
        <v>84</v>
      </c>
      <c r="I23" s="56" t="str">
        <f aca="false">A23</f>
        <v>S2.020.242</v>
      </c>
      <c r="J23" s="54"/>
      <c r="K23" s="46"/>
      <c r="L23" s="46"/>
      <c r="M23" s="60" t="n">
        <v>1</v>
      </c>
      <c r="N23" s="61" t="n">
        <v>1</v>
      </c>
      <c r="O23" s="61"/>
      <c r="P23" s="61" t="n">
        <v>0</v>
      </c>
      <c r="Q23" s="61" t="n">
        <v>1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1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2" t="n">
        <v>0</v>
      </c>
      <c r="AE23" s="28" t="n">
        <v>21</v>
      </c>
      <c r="AF23" s="50"/>
    </row>
    <row r="24" customFormat="false" ht="15" hidden="false" customHeight="true" outlineLevel="0" collapsed="false">
      <c r="A24" s="58" t="s">
        <v>89</v>
      </c>
      <c r="B24" s="46" t="s">
        <v>90</v>
      </c>
      <c r="C24" s="59" t="s">
        <v>41</v>
      </c>
      <c r="D24" s="44" t="s">
        <v>49</v>
      </c>
      <c r="E24" s="46" t="s">
        <v>83</v>
      </c>
      <c r="F24" s="46" t="n">
        <v>1</v>
      </c>
      <c r="G24" s="46" t="n">
        <v>1</v>
      </c>
      <c r="H24" s="42" t="s">
        <v>84</v>
      </c>
      <c r="I24" s="56" t="str">
        <f aca="false">A24</f>
        <v>S2.020.243</v>
      </c>
      <c r="J24" s="44"/>
      <c r="K24" s="46"/>
      <c r="L24" s="46"/>
      <c r="M24" s="60" t="n">
        <v>1</v>
      </c>
      <c r="N24" s="61" t="n">
        <v>1</v>
      </c>
      <c r="O24" s="61"/>
      <c r="P24" s="61" t="n">
        <v>0</v>
      </c>
      <c r="Q24" s="61" t="n">
        <v>1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1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2" t="n">
        <v>0</v>
      </c>
      <c r="AE24" s="39" t="n">
        <v>22</v>
      </c>
      <c r="AF24" s="50"/>
    </row>
    <row r="25" customFormat="false" ht="15" hidden="false" customHeight="true" outlineLevel="0" collapsed="false">
      <c r="A25" s="58" t="s">
        <v>91</v>
      </c>
      <c r="B25" s="46" t="s">
        <v>92</v>
      </c>
      <c r="C25" s="53" t="s">
        <v>41</v>
      </c>
      <c r="D25" s="54" t="s">
        <v>49</v>
      </c>
      <c r="E25" s="46" t="s">
        <v>83</v>
      </c>
      <c r="F25" s="46" t="n">
        <v>1</v>
      </c>
      <c r="G25" s="55" t="n">
        <v>1</v>
      </c>
      <c r="H25" s="42" t="s">
        <v>84</v>
      </c>
      <c r="I25" s="56" t="str">
        <f aca="false">A25</f>
        <v>S2.020.245</v>
      </c>
      <c r="J25" s="54"/>
      <c r="K25" s="46"/>
      <c r="L25" s="46"/>
      <c r="M25" s="60" t="n">
        <v>1</v>
      </c>
      <c r="N25" s="61" t="n">
        <v>4</v>
      </c>
      <c r="O25" s="61"/>
      <c r="P25" s="61" t="n">
        <v>0</v>
      </c>
      <c r="Q25" s="61" t="n">
        <v>4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4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2" t="n">
        <v>0</v>
      </c>
      <c r="AE25" s="39" t="n">
        <v>23</v>
      </c>
      <c r="AF25" s="50"/>
    </row>
    <row r="26" customFormat="false" ht="15" hidden="false" customHeight="true" outlineLevel="0" collapsed="false">
      <c r="A26" s="58" t="s">
        <v>93</v>
      </c>
      <c r="B26" s="64" t="s">
        <v>94</v>
      </c>
      <c r="C26" s="59" t="s">
        <v>41</v>
      </c>
      <c r="D26" s="63" t="s">
        <v>49</v>
      </c>
      <c r="E26" s="46" t="s">
        <v>95</v>
      </c>
      <c r="F26" s="46" t="n">
        <v>2</v>
      </c>
      <c r="G26" s="46" t="n">
        <v>1</v>
      </c>
      <c r="H26" s="42" t="s">
        <v>96</v>
      </c>
      <c r="I26" s="56" t="str">
        <f aca="false">A26</f>
        <v>S3.020.303</v>
      </c>
      <c r="J26" s="63"/>
      <c r="K26" s="46"/>
      <c r="L26" s="46"/>
      <c r="M26" s="60" t="n">
        <v>1</v>
      </c>
      <c r="N26" s="61" t="n">
        <v>1</v>
      </c>
      <c r="O26" s="61"/>
      <c r="P26" s="61" t="n">
        <v>0</v>
      </c>
      <c r="Q26" s="61" t="n">
        <v>1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1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2" t="n">
        <v>0</v>
      </c>
      <c r="AE26" s="39" t="n">
        <v>24</v>
      </c>
      <c r="AF26" s="50"/>
    </row>
    <row r="27" customFormat="false" ht="15" hidden="false" customHeight="true" outlineLevel="0" collapsed="false">
      <c r="A27" s="58" t="s">
        <v>97</v>
      </c>
      <c r="B27" s="64" t="s">
        <v>98</v>
      </c>
      <c r="C27" s="53" t="s">
        <v>41</v>
      </c>
      <c r="D27" s="54" t="s">
        <v>49</v>
      </c>
      <c r="E27" s="46" t="s">
        <v>95</v>
      </c>
      <c r="F27" s="46" t="n">
        <v>2</v>
      </c>
      <c r="G27" s="55" t="n">
        <v>1</v>
      </c>
      <c r="H27" s="42" t="s">
        <v>96</v>
      </c>
      <c r="I27" s="56" t="str">
        <f aca="false">A27</f>
        <v>S3.020.316</v>
      </c>
      <c r="J27" s="54"/>
      <c r="K27" s="46"/>
      <c r="L27" s="46"/>
      <c r="M27" s="60" t="n">
        <v>1</v>
      </c>
      <c r="N27" s="61" t="n">
        <v>1</v>
      </c>
      <c r="O27" s="61"/>
      <c r="P27" s="61" t="n">
        <v>0</v>
      </c>
      <c r="Q27" s="61" t="n">
        <v>1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1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2" t="n">
        <v>0</v>
      </c>
      <c r="AE27" s="28" t="n">
        <v>25</v>
      </c>
      <c r="AF27" s="50"/>
    </row>
    <row r="28" customFormat="false" ht="15" hidden="false" customHeight="true" outlineLevel="0" collapsed="false">
      <c r="A28" s="58" t="s">
        <v>99</v>
      </c>
      <c r="B28" s="64" t="s">
        <v>100</v>
      </c>
      <c r="C28" s="59" t="s">
        <v>41</v>
      </c>
      <c r="D28" s="44" t="s">
        <v>49</v>
      </c>
      <c r="E28" s="46" t="s">
        <v>95</v>
      </c>
      <c r="F28" s="46" t="n">
        <v>1</v>
      </c>
      <c r="G28" s="46" t="n">
        <v>1</v>
      </c>
      <c r="H28" s="42" t="s">
        <v>96</v>
      </c>
      <c r="I28" s="56" t="str">
        <f aca="false">A28</f>
        <v>S3.020.342</v>
      </c>
      <c r="J28" s="44"/>
      <c r="K28" s="46"/>
      <c r="L28" s="46"/>
      <c r="M28" s="60" t="n">
        <v>1</v>
      </c>
      <c r="N28" s="61" t="n">
        <v>1</v>
      </c>
      <c r="O28" s="61"/>
      <c r="P28" s="61" t="n">
        <v>0</v>
      </c>
      <c r="Q28" s="61" t="n">
        <v>1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0</v>
      </c>
      <c r="X28" s="61" t="n">
        <v>1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2" t="n">
        <v>0</v>
      </c>
      <c r="AE28" s="28" t="n">
        <v>26</v>
      </c>
      <c r="AF28" s="50"/>
    </row>
    <row r="29" customFormat="false" ht="15" hidden="false" customHeight="true" outlineLevel="0" collapsed="false">
      <c r="A29" s="58" t="s">
        <v>101</v>
      </c>
      <c r="B29" s="64" t="s">
        <v>102</v>
      </c>
      <c r="C29" s="53" t="s">
        <v>41</v>
      </c>
      <c r="D29" s="54" t="s">
        <v>49</v>
      </c>
      <c r="E29" s="46" t="s">
        <v>95</v>
      </c>
      <c r="F29" s="46" t="n">
        <v>1</v>
      </c>
      <c r="G29" s="55" t="n">
        <v>1</v>
      </c>
      <c r="H29" s="42" t="s">
        <v>96</v>
      </c>
      <c r="I29" s="56" t="str">
        <f aca="false">A29</f>
        <v>S3.020.343</v>
      </c>
      <c r="J29" s="54"/>
      <c r="K29" s="46"/>
      <c r="L29" s="46"/>
      <c r="M29" s="60" t="n">
        <v>1</v>
      </c>
      <c r="N29" s="61" t="n">
        <v>1</v>
      </c>
      <c r="O29" s="61"/>
      <c r="P29" s="61" t="n">
        <v>0</v>
      </c>
      <c r="Q29" s="61" t="n">
        <v>1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1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2" t="n">
        <v>0</v>
      </c>
      <c r="AE29" s="39" t="n">
        <v>27</v>
      </c>
      <c r="AF29" s="50"/>
    </row>
    <row r="30" customFormat="false" ht="15" hidden="false" customHeight="true" outlineLevel="0" collapsed="false">
      <c r="A30" s="58" t="s">
        <v>103</v>
      </c>
      <c r="B30" s="64" t="s">
        <v>104</v>
      </c>
      <c r="C30" s="59" t="s">
        <v>41</v>
      </c>
      <c r="D30" s="63" t="s">
        <v>49</v>
      </c>
      <c r="E30" s="46" t="s">
        <v>95</v>
      </c>
      <c r="F30" s="46" t="n">
        <v>1</v>
      </c>
      <c r="G30" s="46" t="n">
        <v>1</v>
      </c>
      <c r="H30" s="42" t="s">
        <v>96</v>
      </c>
      <c r="I30" s="56" t="str">
        <f aca="false">A30</f>
        <v>S3.020.345</v>
      </c>
      <c r="J30" s="63"/>
      <c r="K30" s="46"/>
      <c r="L30" s="46"/>
      <c r="M30" s="60" t="n">
        <v>1</v>
      </c>
      <c r="N30" s="61" t="n">
        <v>4</v>
      </c>
      <c r="O30" s="61"/>
      <c r="P30" s="61" t="n">
        <v>0</v>
      </c>
      <c r="Q30" s="61" t="n">
        <v>4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4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2" t="n">
        <v>0</v>
      </c>
      <c r="AE30" s="39" t="n">
        <v>28</v>
      </c>
      <c r="AF30" s="50"/>
    </row>
    <row r="31" customFormat="false" ht="14.15" hidden="false" customHeight="false" outlineLevel="0" collapsed="false">
      <c r="A31" s="58" t="s">
        <v>105</v>
      </c>
      <c r="B31" s="46" t="s">
        <v>106</v>
      </c>
      <c r="C31" s="53" t="s">
        <v>41</v>
      </c>
      <c r="D31" s="54" t="s">
        <v>49</v>
      </c>
      <c r="E31" s="46" t="s">
        <v>107</v>
      </c>
      <c r="F31" s="46" t="n">
        <v>2</v>
      </c>
      <c r="G31" s="55" t="n">
        <v>1</v>
      </c>
      <c r="H31" s="42" t="s">
        <v>108</v>
      </c>
      <c r="I31" s="56" t="str">
        <f aca="false">A31</f>
        <v>S4.020.403</v>
      </c>
      <c r="J31" s="54"/>
      <c r="K31" s="46"/>
      <c r="L31" s="46"/>
      <c r="M31" s="60" t="n">
        <v>1</v>
      </c>
      <c r="N31" s="61" t="n">
        <v>1</v>
      </c>
      <c r="O31" s="61"/>
      <c r="P31" s="61" t="n">
        <v>0</v>
      </c>
      <c r="Q31" s="61" t="n">
        <v>1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1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2" t="n">
        <v>0</v>
      </c>
      <c r="AE31" s="39" t="n">
        <v>29</v>
      </c>
      <c r="AF31" s="50"/>
    </row>
    <row r="32" customFormat="false" ht="14.15" hidden="false" customHeight="false" outlineLevel="0" collapsed="false">
      <c r="A32" s="58" t="s">
        <v>109</v>
      </c>
      <c r="B32" s="46" t="s">
        <v>110</v>
      </c>
      <c r="C32" s="59" t="s">
        <v>41</v>
      </c>
      <c r="D32" s="44" t="s">
        <v>49</v>
      </c>
      <c r="E32" s="46" t="s">
        <v>107</v>
      </c>
      <c r="F32" s="46" t="n">
        <v>2</v>
      </c>
      <c r="G32" s="46" t="n">
        <v>1</v>
      </c>
      <c r="H32" s="42" t="s">
        <v>108</v>
      </c>
      <c r="I32" s="56" t="str">
        <f aca="false">A32</f>
        <v>S4.020.416</v>
      </c>
      <c r="J32" s="44"/>
      <c r="K32" s="46"/>
      <c r="L32" s="46"/>
      <c r="M32" s="60" t="n">
        <v>1</v>
      </c>
      <c r="N32" s="61" t="n">
        <v>1</v>
      </c>
      <c r="O32" s="61"/>
      <c r="P32" s="61" t="n">
        <v>0</v>
      </c>
      <c r="Q32" s="61" t="n">
        <v>1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0</v>
      </c>
      <c r="X32" s="61" t="n">
        <v>1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2" t="n">
        <v>0</v>
      </c>
      <c r="AE32" s="28" t="n">
        <v>30</v>
      </c>
      <c r="AF32" s="50"/>
    </row>
    <row r="33" customFormat="false" ht="14.15" hidden="false" customHeight="false" outlineLevel="0" collapsed="false">
      <c r="A33" s="58" t="s">
        <v>111</v>
      </c>
      <c r="B33" s="46" t="s">
        <v>112</v>
      </c>
      <c r="C33" s="53" t="s">
        <v>41</v>
      </c>
      <c r="D33" s="54" t="s">
        <v>49</v>
      </c>
      <c r="E33" s="46" t="s">
        <v>107</v>
      </c>
      <c r="F33" s="46" t="n">
        <v>1</v>
      </c>
      <c r="G33" s="55" t="n">
        <v>1</v>
      </c>
      <c r="H33" s="42" t="s">
        <v>108</v>
      </c>
      <c r="I33" s="56" t="str">
        <f aca="false">A33</f>
        <v>S4.020.442</v>
      </c>
      <c r="J33" s="54"/>
      <c r="K33" s="46"/>
      <c r="L33" s="46"/>
      <c r="M33" s="60" t="n">
        <v>1</v>
      </c>
      <c r="N33" s="61" t="n">
        <v>1</v>
      </c>
      <c r="O33" s="61"/>
      <c r="P33" s="61" t="n">
        <v>0</v>
      </c>
      <c r="Q33" s="61" t="n">
        <v>1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1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2" t="n">
        <v>0</v>
      </c>
      <c r="AE33" s="28" t="n">
        <v>31</v>
      </c>
      <c r="AF33" s="50"/>
    </row>
    <row r="34" customFormat="false" ht="14.15" hidden="false" customHeight="false" outlineLevel="0" collapsed="false">
      <c r="A34" s="58" t="s">
        <v>113</v>
      </c>
      <c r="B34" s="46" t="s">
        <v>114</v>
      </c>
      <c r="C34" s="59" t="s">
        <v>41</v>
      </c>
      <c r="D34" s="63" t="s">
        <v>49</v>
      </c>
      <c r="E34" s="46" t="s">
        <v>107</v>
      </c>
      <c r="F34" s="46" t="n">
        <v>1</v>
      </c>
      <c r="G34" s="46" t="n">
        <v>1</v>
      </c>
      <c r="H34" s="42" t="s">
        <v>108</v>
      </c>
      <c r="I34" s="56" t="str">
        <f aca="false">A34</f>
        <v>S4.020.443</v>
      </c>
      <c r="J34" s="63"/>
      <c r="K34" s="46"/>
      <c r="L34" s="46"/>
      <c r="M34" s="60" t="n">
        <v>1</v>
      </c>
      <c r="N34" s="61" t="n">
        <v>1</v>
      </c>
      <c r="O34" s="61"/>
      <c r="P34" s="61" t="n">
        <v>0</v>
      </c>
      <c r="Q34" s="61" t="n">
        <v>1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0</v>
      </c>
      <c r="X34" s="61" t="n">
        <v>1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2" t="n">
        <v>0</v>
      </c>
      <c r="AE34" s="39" t="n">
        <v>32</v>
      </c>
      <c r="AF34" s="50"/>
    </row>
    <row r="35" customFormat="false" ht="14.15" hidden="false" customHeight="false" outlineLevel="0" collapsed="false">
      <c r="A35" s="58" t="s">
        <v>115</v>
      </c>
      <c r="B35" s="46" t="s">
        <v>116</v>
      </c>
      <c r="C35" s="53" t="s">
        <v>41</v>
      </c>
      <c r="D35" s="54" t="s">
        <v>49</v>
      </c>
      <c r="E35" s="46" t="s">
        <v>107</v>
      </c>
      <c r="F35" s="46" t="n">
        <v>1</v>
      </c>
      <c r="G35" s="55" t="n">
        <v>1</v>
      </c>
      <c r="H35" s="42" t="s">
        <v>108</v>
      </c>
      <c r="I35" s="56" t="str">
        <f aca="false">A35</f>
        <v>S4.020.445</v>
      </c>
      <c r="J35" s="54"/>
      <c r="K35" s="46"/>
      <c r="L35" s="46"/>
      <c r="M35" s="60" t="n">
        <v>1</v>
      </c>
      <c r="N35" s="61" t="n">
        <v>4</v>
      </c>
      <c r="O35" s="61"/>
      <c r="P35" s="61" t="n">
        <v>0</v>
      </c>
      <c r="Q35" s="61" t="n">
        <v>4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4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2" t="n">
        <v>0</v>
      </c>
      <c r="AE35" s="39" t="n">
        <v>33</v>
      </c>
      <c r="AF35" s="50"/>
    </row>
    <row r="36" customFormat="false" ht="14.15" hidden="false" customHeight="false" outlineLevel="0" collapsed="false">
      <c r="A36" s="58" t="s">
        <v>117</v>
      </c>
      <c r="B36" s="46" t="s">
        <v>118</v>
      </c>
      <c r="C36" s="59" t="s">
        <v>41</v>
      </c>
      <c r="D36" s="44" t="s">
        <v>49</v>
      </c>
      <c r="E36" s="46" t="s">
        <v>119</v>
      </c>
      <c r="F36" s="46" t="n">
        <v>2</v>
      </c>
      <c r="G36" s="46" t="n">
        <v>1</v>
      </c>
      <c r="H36" s="42" t="s">
        <v>120</v>
      </c>
      <c r="I36" s="56" t="str">
        <f aca="false">A36</f>
        <v>S5.020.503</v>
      </c>
      <c r="J36" s="44"/>
      <c r="K36" s="46"/>
      <c r="L36" s="46"/>
      <c r="M36" s="60" t="n">
        <v>1</v>
      </c>
      <c r="N36" s="61" t="n">
        <v>1</v>
      </c>
      <c r="O36" s="61"/>
      <c r="P36" s="61" t="n">
        <v>0</v>
      </c>
      <c r="Q36" s="61" t="n">
        <v>1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1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2" t="n">
        <v>0</v>
      </c>
      <c r="AE36" s="39" t="n">
        <v>34</v>
      </c>
      <c r="AF36" s="50"/>
    </row>
    <row r="37" customFormat="false" ht="14.15" hidden="false" customHeight="false" outlineLevel="0" collapsed="false">
      <c r="A37" s="58" t="s">
        <v>121</v>
      </c>
      <c r="B37" s="46" t="s">
        <v>122</v>
      </c>
      <c r="C37" s="53" t="s">
        <v>41</v>
      </c>
      <c r="D37" s="54" t="s">
        <v>49</v>
      </c>
      <c r="E37" s="46" t="s">
        <v>119</v>
      </c>
      <c r="F37" s="46" t="n">
        <v>2</v>
      </c>
      <c r="G37" s="55" t="n">
        <v>1</v>
      </c>
      <c r="H37" s="42" t="s">
        <v>120</v>
      </c>
      <c r="I37" s="56" t="str">
        <f aca="false">A37</f>
        <v>S5.020.516</v>
      </c>
      <c r="J37" s="54"/>
      <c r="K37" s="46"/>
      <c r="L37" s="46"/>
      <c r="M37" s="60" t="n">
        <v>1</v>
      </c>
      <c r="N37" s="61" t="n">
        <v>1</v>
      </c>
      <c r="O37" s="61"/>
      <c r="P37" s="61" t="n">
        <v>0</v>
      </c>
      <c r="Q37" s="61" t="n">
        <v>1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1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2" t="n">
        <v>0</v>
      </c>
      <c r="AE37" s="28" t="n">
        <v>35</v>
      </c>
      <c r="AF37" s="50"/>
    </row>
    <row r="38" customFormat="false" ht="14.15" hidden="false" customHeight="false" outlineLevel="0" collapsed="false">
      <c r="A38" s="58" t="s">
        <v>123</v>
      </c>
      <c r="B38" s="46" t="s">
        <v>124</v>
      </c>
      <c r="C38" s="59" t="s">
        <v>41</v>
      </c>
      <c r="D38" s="63" t="s">
        <v>49</v>
      </c>
      <c r="E38" s="46" t="s">
        <v>119</v>
      </c>
      <c r="F38" s="46" t="n">
        <v>1</v>
      </c>
      <c r="G38" s="46" t="n">
        <v>1</v>
      </c>
      <c r="H38" s="42" t="s">
        <v>120</v>
      </c>
      <c r="I38" s="56" t="str">
        <f aca="false">A38</f>
        <v>S5.020.542</v>
      </c>
      <c r="J38" s="63"/>
      <c r="K38" s="46"/>
      <c r="L38" s="46"/>
      <c r="M38" s="60" t="n">
        <v>1</v>
      </c>
      <c r="N38" s="61" t="n">
        <v>1</v>
      </c>
      <c r="O38" s="61"/>
      <c r="P38" s="61" t="n">
        <v>0</v>
      </c>
      <c r="Q38" s="61" t="n">
        <v>1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1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2" t="n">
        <v>0</v>
      </c>
      <c r="AE38" s="28" t="n">
        <v>36</v>
      </c>
      <c r="AF38" s="50"/>
    </row>
    <row r="39" customFormat="false" ht="14.15" hidden="false" customHeight="false" outlineLevel="0" collapsed="false">
      <c r="A39" s="58" t="s">
        <v>125</v>
      </c>
      <c r="B39" s="46" t="s">
        <v>126</v>
      </c>
      <c r="C39" s="53" t="s">
        <v>41</v>
      </c>
      <c r="D39" s="54" t="s">
        <v>49</v>
      </c>
      <c r="E39" s="46" t="s">
        <v>119</v>
      </c>
      <c r="F39" s="46" t="n">
        <v>1</v>
      </c>
      <c r="G39" s="55" t="n">
        <v>1</v>
      </c>
      <c r="H39" s="42" t="s">
        <v>120</v>
      </c>
      <c r="I39" s="56" t="str">
        <f aca="false">A39</f>
        <v>S5.020.543</v>
      </c>
      <c r="J39" s="54"/>
      <c r="K39" s="46"/>
      <c r="L39" s="46"/>
      <c r="M39" s="60" t="n">
        <v>1</v>
      </c>
      <c r="N39" s="61" t="n">
        <v>1</v>
      </c>
      <c r="O39" s="61"/>
      <c r="P39" s="61" t="n">
        <v>0</v>
      </c>
      <c r="Q39" s="61" t="n">
        <v>1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1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2" t="n">
        <v>0</v>
      </c>
      <c r="AE39" s="39" t="n">
        <v>37</v>
      </c>
      <c r="AF39" s="50"/>
    </row>
    <row r="40" customFormat="false" ht="14.15" hidden="false" customHeight="false" outlineLevel="0" collapsed="false">
      <c r="A40" s="58" t="s">
        <v>127</v>
      </c>
      <c r="B40" s="46" t="s">
        <v>128</v>
      </c>
      <c r="C40" s="59" t="s">
        <v>41</v>
      </c>
      <c r="D40" s="44" t="s">
        <v>49</v>
      </c>
      <c r="E40" s="46" t="s">
        <v>119</v>
      </c>
      <c r="F40" s="46" t="n">
        <v>1</v>
      </c>
      <c r="G40" s="46" t="n">
        <v>1</v>
      </c>
      <c r="H40" s="42" t="s">
        <v>120</v>
      </c>
      <c r="I40" s="56" t="str">
        <f aca="false">A40</f>
        <v>S5.020.545</v>
      </c>
      <c r="J40" s="44"/>
      <c r="K40" s="46"/>
      <c r="L40" s="46"/>
      <c r="M40" s="60" t="n">
        <v>1</v>
      </c>
      <c r="N40" s="61" t="n">
        <v>4</v>
      </c>
      <c r="O40" s="61"/>
      <c r="P40" s="61" t="n">
        <v>0</v>
      </c>
      <c r="Q40" s="61" t="n">
        <v>4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4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2" t="n">
        <v>0</v>
      </c>
      <c r="AE40" s="39" t="n">
        <v>38</v>
      </c>
      <c r="AF40" s="50"/>
    </row>
    <row r="41" customFormat="false" ht="14.15" hidden="false" customHeight="false" outlineLevel="0" collapsed="false">
      <c r="A41" s="58" t="s">
        <v>129</v>
      </c>
      <c r="B41" s="46" t="s">
        <v>130</v>
      </c>
      <c r="C41" s="53" t="s">
        <v>41</v>
      </c>
      <c r="D41" s="54" t="s">
        <v>49</v>
      </c>
      <c r="E41" s="46" t="s">
        <v>131</v>
      </c>
      <c r="F41" s="46" t="n">
        <v>2</v>
      </c>
      <c r="G41" s="55" t="n">
        <v>1</v>
      </c>
      <c r="H41" s="42" t="s">
        <v>132</v>
      </c>
      <c r="I41" s="56" t="str">
        <f aca="false">A41</f>
        <v>S6.020.603</v>
      </c>
      <c r="J41" s="54"/>
      <c r="K41" s="46"/>
      <c r="L41" s="46"/>
      <c r="M41" s="60" t="n">
        <v>1</v>
      </c>
      <c r="N41" s="61" t="n">
        <v>1</v>
      </c>
      <c r="O41" s="61"/>
      <c r="P41" s="61" t="n">
        <v>0</v>
      </c>
      <c r="Q41" s="61" t="n">
        <v>1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1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2" t="n">
        <v>0</v>
      </c>
      <c r="AE41" s="39" t="n">
        <v>39</v>
      </c>
      <c r="AF41" s="50"/>
    </row>
    <row r="42" customFormat="false" ht="14.15" hidden="false" customHeight="false" outlineLevel="0" collapsed="false">
      <c r="A42" s="58" t="s">
        <v>133</v>
      </c>
      <c r="B42" s="46" t="s">
        <v>134</v>
      </c>
      <c r="C42" s="59" t="s">
        <v>41</v>
      </c>
      <c r="D42" s="63" t="s">
        <v>49</v>
      </c>
      <c r="E42" s="46" t="s">
        <v>131</v>
      </c>
      <c r="F42" s="46" t="n">
        <v>2</v>
      </c>
      <c r="G42" s="46" t="n">
        <v>1</v>
      </c>
      <c r="H42" s="42" t="s">
        <v>132</v>
      </c>
      <c r="I42" s="56" t="str">
        <f aca="false">A42</f>
        <v>S6.020.616</v>
      </c>
      <c r="J42" s="63"/>
      <c r="K42" s="46"/>
      <c r="L42" s="46"/>
      <c r="M42" s="60" t="n">
        <v>1</v>
      </c>
      <c r="N42" s="61" t="n">
        <v>1</v>
      </c>
      <c r="O42" s="61"/>
      <c r="P42" s="61" t="n">
        <v>0</v>
      </c>
      <c r="Q42" s="61" t="n">
        <v>1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1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2" t="n">
        <v>0</v>
      </c>
      <c r="AE42" s="28" t="n">
        <v>40</v>
      </c>
      <c r="AF42" s="50"/>
    </row>
    <row r="43" customFormat="false" ht="14.15" hidden="false" customHeight="false" outlineLevel="0" collapsed="false">
      <c r="A43" s="58" t="s">
        <v>135</v>
      </c>
      <c r="B43" s="46" t="s">
        <v>136</v>
      </c>
      <c r="C43" s="53" t="s">
        <v>41</v>
      </c>
      <c r="D43" s="54" t="s">
        <v>49</v>
      </c>
      <c r="E43" s="46" t="s">
        <v>131</v>
      </c>
      <c r="F43" s="46" t="n">
        <v>1</v>
      </c>
      <c r="G43" s="55" t="n">
        <v>1</v>
      </c>
      <c r="H43" s="42" t="s">
        <v>132</v>
      </c>
      <c r="I43" s="56" t="str">
        <f aca="false">A43</f>
        <v>S6.020.642</v>
      </c>
      <c r="J43" s="54"/>
      <c r="K43" s="46"/>
      <c r="L43" s="46"/>
      <c r="M43" s="60" t="n">
        <v>1</v>
      </c>
      <c r="N43" s="61" t="n">
        <v>1</v>
      </c>
      <c r="O43" s="61"/>
      <c r="P43" s="61" t="n">
        <v>0</v>
      </c>
      <c r="Q43" s="61" t="n">
        <v>1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1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2" t="n">
        <v>0</v>
      </c>
      <c r="AE43" s="28" t="n">
        <v>41</v>
      </c>
      <c r="AF43" s="50"/>
    </row>
    <row r="44" customFormat="false" ht="14.15" hidden="false" customHeight="false" outlineLevel="0" collapsed="false">
      <c r="A44" s="58" t="s">
        <v>137</v>
      </c>
      <c r="B44" s="46" t="s">
        <v>138</v>
      </c>
      <c r="C44" s="59" t="s">
        <v>41</v>
      </c>
      <c r="D44" s="44" t="s">
        <v>49</v>
      </c>
      <c r="E44" s="46" t="s">
        <v>131</v>
      </c>
      <c r="F44" s="46" t="n">
        <v>1</v>
      </c>
      <c r="G44" s="46" t="n">
        <v>1</v>
      </c>
      <c r="H44" s="42" t="s">
        <v>132</v>
      </c>
      <c r="I44" s="56" t="str">
        <f aca="false">A44</f>
        <v>S6.020.643</v>
      </c>
      <c r="J44" s="44"/>
      <c r="K44" s="46"/>
      <c r="L44" s="46"/>
      <c r="M44" s="60" t="n">
        <v>1</v>
      </c>
      <c r="N44" s="61" t="n">
        <v>1</v>
      </c>
      <c r="O44" s="61"/>
      <c r="P44" s="61" t="n">
        <v>0</v>
      </c>
      <c r="Q44" s="61" t="n">
        <v>1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1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2" t="n">
        <v>0</v>
      </c>
      <c r="AE44" s="39" t="n">
        <v>42</v>
      </c>
      <c r="AF44" s="50"/>
    </row>
    <row r="45" customFormat="false" ht="14.15" hidden="false" customHeight="false" outlineLevel="0" collapsed="false">
      <c r="A45" s="58" t="s">
        <v>139</v>
      </c>
      <c r="B45" s="46" t="s">
        <v>140</v>
      </c>
      <c r="C45" s="53" t="s">
        <v>41</v>
      </c>
      <c r="D45" s="54" t="s">
        <v>49</v>
      </c>
      <c r="E45" s="46" t="s">
        <v>131</v>
      </c>
      <c r="F45" s="46" t="n">
        <v>1</v>
      </c>
      <c r="G45" s="55" t="n">
        <v>1</v>
      </c>
      <c r="H45" s="42" t="s">
        <v>132</v>
      </c>
      <c r="I45" s="56" t="str">
        <f aca="false">A45</f>
        <v>S6.020.645</v>
      </c>
      <c r="J45" s="54"/>
      <c r="K45" s="46"/>
      <c r="L45" s="46"/>
      <c r="M45" s="60" t="n">
        <v>1</v>
      </c>
      <c r="N45" s="61" t="n">
        <v>4</v>
      </c>
      <c r="O45" s="61"/>
      <c r="P45" s="61" t="n">
        <v>0</v>
      </c>
      <c r="Q45" s="61" t="n">
        <v>4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4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2" t="n">
        <v>0</v>
      </c>
      <c r="AE45" s="39" t="n">
        <v>43</v>
      </c>
      <c r="AF45" s="50"/>
    </row>
    <row r="46" customFormat="false" ht="14.15" hidden="false" customHeight="false" outlineLevel="0" collapsed="false">
      <c r="A46" s="58" t="s">
        <v>141</v>
      </c>
      <c r="B46" s="46" t="s">
        <v>142</v>
      </c>
      <c r="C46" s="59" t="s">
        <v>41</v>
      </c>
      <c r="D46" s="63" t="s">
        <v>49</v>
      </c>
      <c r="E46" s="46" t="s">
        <v>143</v>
      </c>
      <c r="F46" s="46" t="n">
        <v>2</v>
      </c>
      <c r="G46" s="46" t="n">
        <v>1</v>
      </c>
      <c r="H46" s="42" t="s">
        <v>144</v>
      </c>
      <c r="I46" s="56" t="str">
        <f aca="false">A46</f>
        <v>S7.020.703</v>
      </c>
      <c r="J46" s="63"/>
      <c r="K46" s="46"/>
      <c r="L46" s="46"/>
      <c r="M46" s="60" t="n">
        <v>1</v>
      </c>
      <c r="N46" s="61" t="n">
        <v>1</v>
      </c>
      <c r="O46" s="61"/>
      <c r="P46" s="61" t="n">
        <v>0</v>
      </c>
      <c r="Q46" s="61" t="n">
        <v>1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1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2" t="n">
        <v>0</v>
      </c>
      <c r="AE46" s="39" t="n">
        <v>44</v>
      </c>
      <c r="AF46" s="50"/>
    </row>
    <row r="47" customFormat="false" ht="15" hidden="false" customHeight="true" outlineLevel="0" collapsed="false">
      <c r="A47" s="58" t="s">
        <v>145</v>
      </c>
      <c r="B47" s="46" t="s">
        <v>146</v>
      </c>
      <c r="C47" s="53" t="s">
        <v>41</v>
      </c>
      <c r="D47" s="54" t="s">
        <v>49</v>
      </c>
      <c r="E47" s="46" t="s">
        <v>143</v>
      </c>
      <c r="F47" s="46" t="n">
        <v>2</v>
      </c>
      <c r="G47" s="55" t="n">
        <v>1</v>
      </c>
      <c r="H47" s="42" t="s">
        <v>144</v>
      </c>
      <c r="I47" s="56" t="str">
        <f aca="false">A47</f>
        <v>S7.020.716</v>
      </c>
      <c r="J47" s="54"/>
      <c r="K47" s="46"/>
      <c r="L47" s="46"/>
      <c r="M47" s="60" t="n">
        <v>1</v>
      </c>
      <c r="N47" s="61" t="n">
        <v>1</v>
      </c>
      <c r="O47" s="61"/>
      <c r="P47" s="61" t="n">
        <v>0</v>
      </c>
      <c r="Q47" s="61" t="n">
        <v>1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1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2" t="n">
        <v>0</v>
      </c>
      <c r="AE47" s="28" t="n">
        <v>45</v>
      </c>
      <c r="AF47" s="50"/>
    </row>
    <row r="48" customFormat="false" ht="14.15" hidden="false" customHeight="false" outlineLevel="0" collapsed="false">
      <c r="A48" s="58" t="s">
        <v>147</v>
      </c>
      <c r="B48" s="46" t="s">
        <v>148</v>
      </c>
      <c r="C48" s="59" t="s">
        <v>41</v>
      </c>
      <c r="D48" s="44" t="s">
        <v>49</v>
      </c>
      <c r="E48" s="46" t="s">
        <v>143</v>
      </c>
      <c r="F48" s="46" t="n">
        <v>1</v>
      </c>
      <c r="G48" s="46" t="n">
        <v>1</v>
      </c>
      <c r="H48" s="42" t="s">
        <v>144</v>
      </c>
      <c r="I48" s="56" t="str">
        <f aca="false">A48</f>
        <v>S7.020.742</v>
      </c>
      <c r="J48" s="44"/>
      <c r="K48" s="46"/>
      <c r="L48" s="46"/>
      <c r="M48" s="60" t="n">
        <v>1</v>
      </c>
      <c r="N48" s="61" t="n">
        <v>1</v>
      </c>
      <c r="O48" s="61"/>
      <c r="P48" s="61" t="n">
        <v>0</v>
      </c>
      <c r="Q48" s="61" t="n">
        <v>1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1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2" t="n">
        <v>0</v>
      </c>
      <c r="AE48" s="28" t="n">
        <v>46</v>
      </c>
      <c r="AF48" s="50"/>
    </row>
    <row r="49" customFormat="false" ht="14.15" hidden="false" customHeight="false" outlineLevel="0" collapsed="false">
      <c r="A49" s="58" t="s">
        <v>149</v>
      </c>
      <c r="B49" s="46" t="s">
        <v>150</v>
      </c>
      <c r="C49" s="53" t="s">
        <v>41</v>
      </c>
      <c r="D49" s="54" t="s">
        <v>49</v>
      </c>
      <c r="E49" s="46" t="s">
        <v>143</v>
      </c>
      <c r="F49" s="46" t="n">
        <v>1</v>
      </c>
      <c r="G49" s="55" t="n">
        <v>1</v>
      </c>
      <c r="H49" s="42" t="s">
        <v>144</v>
      </c>
      <c r="I49" s="56" t="str">
        <f aca="false">A49</f>
        <v>S7.020.743</v>
      </c>
      <c r="J49" s="54"/>
      <c r="K49" s="46"/>
      <c r="L49" s="46"/>
      <c r="M49" s="60" t="n">
        <v>1</v>
      </c>
      <c r="N49" s="61" t="n">
        <v>1</v>
      </c>
      <c r="O49" s="61"/>
      <c r="P49" s="61" t="n">
        <v>0</v>
      </c>
      <c r="Q49" s="61" t="n">
        <v>1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1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2" t="n">
        <v>0</v>
      </c>
      <c r="AE49" s="39" t="n">
        <v>47</v>
      </c>
      <c r="AF49" s="50"/>
    </row>
    <row r="50" customFormat="false" ht="14.15" hidden="false" customHeight="false" outlineLevel="0" collapsed="false">
      <c r="A50" s="58" t="s">
        <v>151</v>
      </c>
      <c r="B50" s="46" t="s">
        <v>152</v>
      </c>
      <c r="C50" s="59" t="s">
        <v>41</v>
      </c>
      <c r="D50" s="63" t="s">
        <v>49</v>
      </c>
      <c r="E50" s="46" t="s">
        <v>143</v>
      </c>
      <c r="F50" s="46" t="n">
        <v>1</v>
      </c>
      <c r="G50" s="46" t="n">
        <v>1</v>
      </c>
      <c r="H50" s="42" t="s">
        <v>144</v>
      </c>
      <c r="I50" s="56" t="str">
        <f aca="false">A50</f>
        <v>S7.020.745</v>
      </c>
      <c r="J50" s="63"/>
      <c r="K50" s="46"/>
      <c r="L50" s="46"/>
      <c r="M50" s="60" t="n">
        <v>1</v>
      </c>
      <c r="N50" s="61" t="n">
        <v>4</v>
      </c>
      <c r="O50" s="61"/>
      <c r="P50" s="61" t="n">
        <v>0</v>
      </c>
      <c r="Q50" s="61" t="n">
        <v>4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4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2" t="n">
        <v>0</v>
      </c>
      <c r="AE50" s="39" t="n">
        <v>48</v>
      </c>
      <c r="AF50" s="50"/>
    </row>
    <row r="51" customFormat="false" ht="14.15" hidden="false" customHeight="false" outlineLevel="0" collapsed="false">
      <c r="A51" s="58" t="s">
        <v>153</v>
      </c>
      <c r="B51" s="46" t="s">
        <v>154</v>
      </c>
      <c r="C51" s="53" t="s">
        <v>41</v>
      </c>
      <c r="D51" s="54" t="s">
        <v>49</v>
      </c>
      <c r="E51" s="46" t="s">
        <v>155</v>
      </c>
      <c r="F51" s="46" t="n">
        <v>2</v>
      </c>
      <c r="G51" s="55" t="n">
        <v>1</v>
      </c>
      <c r="H51" s="42" t="s">
        <v>156</v>
      </c>
      <c r="I51" s="56" t="str">
        <f aca="false">A51</f>
        <v>S8.020.803</v>
      </c>
      <c r="J51" s="54"/>
      <c r="K51" s="46"/>
      <c r="L51" s="46"/>
      <c r="M51" s="60" t="n">
        <v>1</v>
      </c>
      <c r="N51" s="61" t="n">
        <v>1</v>
      </c>
      <c r="O51" s="61"/>
      <c r="P51" s="61" t="n">
        <v>0</v>
      </c>
      <c r="Q51" s="61" t="n">
        <v>1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1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2" t="n">
        <v>0</v>
      </c>
      <c r="AE51" s="39" t="n">
        <v>49</v>
      </c>
      <c r="AF51" s="50"/>
    </row>
    <row r="52" customFormat="false" ht="14.15" hidden="false" customHeight="false" outlineLevel="0" collapsed="false">
      <c r="A52" s="58" t="s">
        <v>157</v>
      </c>
      <c r="B52" s="46" t="s">
        <v>158</v>
      </c>
      <c r="C52" s="59" t="s">
        <v>41</v>
      </c>
      <c r="D52" s="44" t="s">
        <v>49</v>
      </c>
      <c r="E52" s="46" t="s">
        <v>155</v>
      </c>
      <c r="F52" s="46" t="n">
        <v>2</v>
      </c>
      <c r="G52" s="46" t="n">
        <v>1</v>
      </c>
      <c r="H52" s="42" t="s">
        <v>156</v>
      </c>
      <c r="I52" s="56" t="str">
        <f aca="false">A52</f>
        <v>S8.020.816</v>
      </c>
      <c r="J52" s="44"/>
      <c r="K52" s="46"/>
      <c r="L52" s="46"/>
      <c r="M52" s="60" t="n">
        <v>1</v>
      </c>
      <c r="N52" s="61" t="n">
        <v>1</v>
      </c>
      <c r="O52" s="61"/>
      <c r="P52" s="61" t="n">
        <v>0</v>
      </c>
      <c r="Q52" s="61" t="n">
        <v>1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1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2" t="n">
        <v>0</v>
      </c>
      <c r="AE52" s="28" t="n">
        <v>50</v>
      </c>
      <c r="AF52" s="50"/>
    </row>
    <row r="53" customFormat="false" ht="14.15" hidden="false" customHeight="false" outlineLevel="0" collapsed="false">
      <c r="A53" s="58" t="s">
        <v>159</v>
      </c>
      <c r="B53" s="46" t="s">
        <v>160</v>
      </c>
      <c r="C53" s="53" t="s">
        <v>41</v>
      </c>
      <c r="D53" s="54" t="s">
        <v>49</v>
      </c>
      <c r="E53" s="46" t="s">
        <v>155</v>
      </c>
      <c r="F53" s="46" t="n">
        <v>1</v>
      </c>
      <c r="G53" s="55" t="n">
        <v>1</v>
      </c>
      <c r="H53" s="42" t="s">
        <v>156</v>
      </c>
      <c r="I53" s="56" t="str">
        <f aca="false">A53</f>
        <v>S8.020.842</v>
      </c>
      <c r="J53" s="54"/>
      <c r="K53" s="46"/>
      <c r="L53" s="46"/>
      <c r="M53" s="60" t="n">
        <v>1</v>
      </c>
      <c r="N53" s="61" t="n">
        <v>1</v>
      </c>
      <c r="O53" s="61"/>
      <c r="P53" s="61" t="n">
        <v>0</v>
      </c>
      <c r="Q53" s="61" t="n">
        <v>1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1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2" t="n">
        <v>0</v>
      </c>
      <c r="AE53" s="28" t="n">
        <v>51</v>
      </c>
      <c r="AF53" s="50"/>
    </row>
    <row r="54" customFormat="false" ht="14.15" hidden="false" customHeight="false" outlineLevel="0" collapsed="false">
      <c r="A54" s="58" t="s">
        <v>161</v>
      </c>
      <c r="B54" s="46" t="s">
        <v>162</v>
      </c>
      <c r="C54" s="59" t="s">
        <v>41</v>
      </c>
      <c r="D54" s="63" t="s">
        <v>49</v>
      </c>
      <c r="E54" s="46" t="s">
        <v>155</v>
      </c>
      <c r="F54" s="46" t="n">
        <v>1</v>
      </c>
      <c r="G54" s="46" t="n">
        <v>1</v>
      </c>
      <c r="H54" s="42" t="s">
        <v>156</v>
      </c>
      <c r="I54" s="56" t="str">
        <f aca="false">A54</f>
        <v>S8.020.843</v>
      </c>
      <c r="J54" s="63"/>
      <c r="K54" s="46"/>
      <c r="L54" s="46"/>
      <c r="M54" s="60" t="n">
        <v>1</v>
      </c>
      <c r="N54" s="61" t="n">
        <v>1</v>
      </c>
      <c r="O54" s="61"/>
      <c r="P54" s="61" t="n">
        <v>0</v>
      </c>
      <c r="Q54" s="61" t="n">
        <v>1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1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2" t="n">
        <v>0</v>
      </c>
      <c r="AE54" s="39" t="n">
        <v>52</v>
      </c>
      <c r="AF54" s="50"/>
    </row>
    <row r="55" customFormat="false" ht="15" hidden="false" customHeight="true" outlineLevel="0" collapsed="false">
      <c r="A55" s="58" t="s">
        <v>163</v>
      </c>
      <c r="B55" s="46" t="s">
        <v>164</v>
      </c>
      <c r="C55" s="53" t="s">
        <v>41</v>
      </c>
      <c r="D55" s="54" t="s">
        <v>49</v>
      </c>
      <c r="E55" s="46" t="s">
        <v>155</v>
      </c>
      <c r="F55" s="46" t="n">
        <v>1</v>
      </c>
      <c r="G55" s="55" t="n">
        <v>1</v>
      </c>
      <c r="H55" s="42" t="s">
        <v>156</v>
      </c>
      <c r="I55" s="56" t="str">
        <f aca="false">A55</f>
        <v>S8.020.845</v>
      </c>
      <c r="J55" s="54"/>
      <c r="K55" s="46"/>
      <c r="L55" s="46"/>
      <c r="M55" s="60" t="n">
        <v>1</v>
      </c>
      <c r="N55" s="61" t="n">
        <v>4</v>
      </c>
      <c r="O55" s="61"/>
      <c r="P55" s="61" t="n">
        <v>0</v>
      </c>
      <c r="Q55" s="61" t="n">
        <v>4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4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2" t="n">
        <v>0</v>
      </c>
      <c r="AE55" s="39" t="n">
        <v>53</v>
      </c>
      <c r="AF55" s="50"/>
    </row>
    <row r="56" customFormat="false" ht="15.75" hidden="false" customHeight="true" outlineLevel="0" collapsed="false">
      <c r="A56" s="30" t="s">
        <v>165</v>
      </c>
      <c r="B56" s="31"/>
      <c r="C56" s="32"/>
      <c r="D56" s="33"/>
      <c r="E56" s="31"/>
      <c r="F56" s="31"/>
      <c r="G56" s="31"/>
      <c r="H56" s="34"/>
      <c r="I56" s="35"/>
      <c r="J56" s="33"/>
      <c r="K56" s="35"/>
      <c r="L56" s="35"/>
      <c r="M56" s="36" t="n">
        <f aca="false">SUM(M57:M223)</f>
        <v>153</v>
      </c>
      <c r="N56" s="37" t="n">
        <f aca="false">SUM(N57:N223)</f>
        <v>200</v>
      </c>
      <c r="O56" s="37"/>
      <c r="P56" s="37" t="n">
        <f aca="false">SUM(P57:P223)</f>
        <v>0</v>
      </c>
      <c r="Q56" s="65" t="n">
        <f aca="false">SUM(Q57:Q223)</f>
        <v>200</v>
      </c>
      <c r="R56" s="37" t="n">
        <f aca="false">SUM(R57:R223)</f>
        <v>0</v>
      </c>
      <c r="S56" s="37" t="n">
        <f aca="false">SUM(S57:S223)</f>
        <v>0</v>
      </c>
      <c r="T56" s="37" t="n">
        <f aca="false">SUM(T57:T223)</f>
        <v>0</v>
      </c>
      <c r="U56" s="37" t="n">
        <f aca="false">SUM(U57:U223)</f>
        <v>0</v>
      </c>
      <c r="V56" s="37" t="n">
        <f aca="false">SUM(V57:V223)</f>
        <v>0</v>
      </c>
      <c r="W56" s="37" t="n">
        <f aca="false">SUM(W57:W223)</f>
        <v>0</v>
      </c>
      <c r="X56" s="37" t="n">
        <f aca="false">SUM(X57:X223)</f>
        <v>193</v>
      </c>
      <c r="Y56" s="37" t="n">
        <f aca="false">SUM(Y57:Y223)</f>
        <v>0</v>
      </c>
      <c r="Z56" s="37" t="n">
        <f aca="false">SUM(Z57:Z223)</f>
        <v>0</v>
      </c>
      <c r="AA56" s="37" t="n">
        <f aca="false">SUM(AA57:AA223)</f>
        <v>209</v>
      </c>
      <c r="AB56" s="37" t="n">
        <f aca="false">SUM(AB57:AB223)</f>
        <v>5</v>
      </c>
      <c r="AC56" s="37" t="n">
        <f aca="false">SUM(AC57:AC223)</f>
        <v>0</v>
      </c>
      <c r="AD56" s="38" t="n">
        <f aca="false">SUM(AD57:AD223)</f>
        <v>0</v>
      </c>
      <c r="AE56" s="39" t="n">
        <v>54</v>
      </c>
      <c r="AF56" s="50"/>
    </row>
    <row r="57" customFormat="false" ht="15.75" hidden="false" customHeight="true" outlineLevel="0" collapsed="false">
      <c r="A57" s="41" t="s">
        <v>166</v>
      </c>
      <c r="B57" s="42" t="s">
        <v>167</v>
      </c>
      <c r="C57" s="43" t="s">
        <v>41</v>
      </c>
      <c r="D57" s="44" t="s">
        <v>168</v>
      </c>
      <c r="E57" s="42" t="s">
        <v>43</v>
      </c>
      <c r="F57" s="42" t="n">
        <v>3</v>
      </c>
      <c r="G57" s="42" t="n">
        <v>1</v>
      </c>
      <c r="H57" s="42" t="s">
        <v>44</v>
      </c>
      <c r="I57" s="56" t="str">
        <f aca="false">A57</f>
        <v>A1.020.009</v>
      </c>
      <c r="J57" s="44"/>
      <c r="K57" s="46"/>
      <c r="L57" s="46"/>
      <c r="M57" s="47" t="n">
        <v>1</v>
      </c>
      <c r="N57" s="48" t="n">
        <v>1</v>
      </c>
      <c r="O57" s="48"/>
      <c r="P57" s="48" t="n">
        <v>0</v>
      </c>
      <c r="Q57" s="61" t="n">
        <v>1</v>
      </c>
      <c r="R57" s="48" t="n">
        <v>0</v>
      </c>
      <c r="S57" s="48" t="n">
        <v>0</v>
      </c>
      <c r="T57" s="48" t="n">
        <v>0</v>
      </c>
      <c r="U57" s="48" t="n">
        <v>0</v>
      </c>
      <c r="V57" s="48" t="n">
        <v>0</v>
      </c>
      <c r="W57" s="48" t="n">
        <v>0</v>
      </c>
      <c r="X57" s="48" t="n">
        <v>1</v>
      </c>
      <c r="Y57" s="48" t="n">
        <v>0</v>
      </c>
      <c r="Z57" s="48" t="n">
        <v>0</v>
      </c>
      <c r="AA57" s="48" t="n">
        <v>1</v>
      </c>
      <c r="AB57" s="48" t="n">
        <v>0</v>
      </c>
      <c r="AC57" s="48" t="n">
        <v>0</v>
      </c>
      <c r="AD57" s="49" t="n">
        <v>0</v>
      </c>
      <c r="AE57" s="28" t="n">
        <v>55</v>
      </c>
      <c r="AF57" s="50"/>
    </row>
    <row r="58" customFormat="false" ht="17.25" hidden="false" customHeight="true" outlineLevel="0" collapsed="false">
      <c r="A58" s="66" t="s">
        <v>169</v>
      </c>
      <c r="B58" s="67" t="s">
        <v>170</v>
      </c>
      <c r="C58" s="68" t="s">
        <v>41</v>
      </c>
      <c r="D58" s="69" t="s">
        <v>168</v>
      </c>
      <c r="E58" s="42" t="s">
        <v>43</v>
      </c>
      <c r="F58" s="67" t="n">
        <v>2</v>
      </c>
      <c r="G58" s="67" t="n">
        <v>1</v>
      </c>
      <c r="H58" s="67"/>
      <c r="I58" s="45" t="s">
        <v>171</v>
      </c>
      <c r="J58" s="69"/>
      <c r="K58" s="28"/>
      <c r="L58" s="28"/>
      <c r="M58" s="70" t="n">
        <v>1</v>
      </c>
      <c r="N58" s="71" t="n">
        <v>1</v>
      </c>
      <c r="O58" s="71"/>
      <c r="P58" s="71" t="n">
        <v>0</v>
      </c>
      <c r="Q58" s="39" t="n">
        <v>1</v>
      </c>
      <c r="R58" s="71" t="n">
        <v>0</v>
      </c>
      <c r="S58" s="71" t="n">
        <v>0</v>
      </c>
      <c r="T58" s="71" t="n">
        <v>0</v>
      </c>
      <c r="U58" s="71" t="n">
        <v>0</v>
      </c>
      <c r="V58" s="71" t="n">
        <v>0</v>
      </c>
      <c r="W58" s="71" t="n">
        <v>0</v>
      </c>
      <c r="X58" s="71" t="n">
        <v>2</v>
      </c>
      <c r="Y58" s="71" t="n">
        <v>0</v>
      </c>
      <c r="Z58" s="71" t="n">
        <v>0</v>
      </c>
      <c r="AA58" s="71" t="n">
        <v>1</v>
      </c>
      <c r="AB58" s="71" t="n">
        <v>0</v>
      </c>
      <c r="AC58" s="71" t="n">
        <v>0</v>
      </c>
      <c r="AD58" s="72" t="n">
        <v>0</v>
      </c>
      <c r="AE58" s="28" t="n">
        <v>56</v>
      </c>
      <c r="AF58" s="73"/>
    </row>
    <row r="59" customFormat="false" ht="15" hidden="false" customHeight="true" outlineLevel="0" collapsed="false">
      <c r="A59" s="58" t="s">
        <v>172</v>
      </c>
      <c r="B59" s="46" t="s">
        <v>173</v>
      </c>
      <c r="C59" s="68" t="s">
        <v>41</v>
      </c>
      <c r="D59" s="44" t="s">
        <v>168</v>
      </c>
      <c r="E59" s="42" t="s">
        <v>43</v>
      </c>
      <c r="F59" s="46" t="n">
        <v>1</v>
      </c>
      <c r="G59" s="46" t="n">
        <v>1</v>
      </c>
      <c r="H59" s="42" t="s">
        <v>44</v>
      </c>
      <c r="I59" s="56" t="str">
        <f aca="false">A59</f>
        <v>A1.020.020</v>
      </c>
      <c r="J59" s="44"/>
      <c r="K59" s="46"/>
      <c r="L59" s="46"/>
      <c r="M59" s="60" t="n">
        <v>1</v>
      </c>
      <c r="N59" s="61" t="n">
        <v>1</v>
      </c>
      <c r="O59" s="61"/>
      <c r="P59" s="61" t="n">
        <v>0</v>
      </c>
      <c r="Q59" s="39" t="n">
        <v>1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1</v>
      </c>
      <c r="Y59" s="61" t="n">
        <v>0</v>
      </c>
      <c r="Z59" s="61" t="n">
        <v>0</v>
      </c>
      <c r="AA59" s="61" t="n">
        <v>5</v>
      </c>
      <c r="AB59" s="61" t="n">
        <v>0</v>
      </c>
      <c r="AC59" s="61" t="n">
        <v>0</v>
      </c>
      <c r="AD59" s="62" t="n">
        <v>0</v>
      </c>
      <c r="AE59" s="39" t="n">
        <v>57</v>
      </c>
      <c r="AF59" s="50"/>
    </row>
    <row r="60" customFormat="false" ht="15" hidden="false" customHeight="true" outlineLevel="0" collapsed="false">
      <c r="A60" s="58" t="s">
        <v>174</v>
      </c>
      <c r="B60" s="46" t="s">
        <v>175</v>
      </c>
      <c r="C60" s="68" t="s">
        <v>41</v>
      </c>
      <c r="D60" s="69" t="s">
        <v>168</v>
      </c>
      <c r="E60" s="42" t="s">
        <v>43</v>
      </c>
      <c r="F60" s="46" t="n">
        <v>1</v>
      </c>
      <c r="G60" s="46" t="n">
        <v>1</v>
      </c>
      <c r="H60" s="42" t="s">
        <v>44</v>
      </c>
      <c r="I60" s="56" t="str">
        <f aca="false">A60</f>
        <v>A1.020.022</v>
      </c>
      <c r="J60" s="69"/>
      <c r="K60" s="46"/>
      <c r="L60" s="46"/>
      <c r="M60" s="60" t="n">
        <v>1</v>
      </c>
      <c r="N60" s="61" t="n">
        <v>2</v>
      </c>
      <c r="O60" s="61"/>
      <c r="P60" s="61" t="n">
        <v>0</v>
      </c>
      <c r="Q60" s="61" t="n">
        <v>2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2</v>
      </c>
      <c r="Y60" s="61" t="n">
        <v>0</v>
      </c>
      <c r="Z60" s="61" t="n">
        <v>0</v>
      </c>
      <c r="AA60" s="61" t="n">
        <v>2</v>
      </c>
      <c r="AB60" s="61" t="n">
        <v>0</v>
      </c>
      <c r="AC60" s="61" t="n">
        <v>0</v>
      </c>
      <c r="AD60" s="62" t="n">
        <v>0</v>
      </c>
      <c r="AE60" s="39" t="n">
        <v>58</v>
      </c>
      <c r="AF60" s="50"/>
    </row>
    <row r="61" customFormat="false" ht="15" hidden="false" customHeight="true" outlineLevel="0" collapsed="false">
      <c r="A61" s="58" t="s">
        <v>176</v>
      </c>
      <c r="B61" s="46" t="s">
        <v>177</v>
      </c>
      <c r="C61" s="68" t="s">
        <v>41</v>
      </c>
      <c r="D61" s="44" t="s">
        <v>168</v>
      </c>
      <c r="E61" s="42" t="s">
        <v>43</v>
      </c>
      <c r="F61" s="46" t="n">
        <v>2</v>
      </c>
      <c r="G61" s="46" t="n">
        <v>1</v>
      </c>
      <c r="H61" s="42" t="s">
        <v>44</v>
      </c>
      <c r="I61" s="56" t="str">
        <f aca="false">A61</f>
        <v>A1.020.023</v>
      </c>
      <c r="J61" s="44"/>
      <c r="K61" s="46"/>
      <c r="L61" s="46"/>
      <c r="M61" s="60" t="n">
        <v>1</v>
      </c>
      <c r="N61" s="74" t="n">
        <v>2</v>
      </c>
      <c r="O61" s="74"/>
      <c r="P61" s="61" t="n">
        <v>0</v>
      </c>
      <c r="Q61" s="61" t="n">
        <v>2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2</v>
      </c>
      <c r="Y61" s="61" t="n">
        <v>0</v>
      </c>
      <c r="Z61" s="61" t="n">
        <v>0</v>
      </c>
      <c r="AA61" s="61" t="n">
        <v>2</v>
      </c>
      <c r="AB61" s="61" t="n">
        <v>0</v>
      </c>
      <c r="AC61" s="61" t="n">
        <v>0</v>
      </c>
      <c r="AD61" s="62" t="n">
        <v>0</v>
      </c>
      <c r="AE61" s="39" t="n">
        <v>59</v>
      </c>
      <c r="AF61" s="50"/>
    </row>
    <row r="62" customFormat="false" ht="14.15" hidden="false" customHeight="false" outlineLevel="0" collapsed="false">
      <c r="A62" s="58" t="s">
        <v>178</v>
      </c>
      <c r="B62" s="46" t="s">
        <v>179</v>
      </c>
      <c r="C62" s="68" t="s">
        <v>41</v>
      </c>
      <c r="D62" s="69" t="s">
        <v>168</v>
      </c>
      <c r="E62" s="42" t="s">
        <v>43</v>
      </c>
      <c r="F62" s="46" t="n">
        <v>2</v>
      </c>
      <c r="G62" s="46" t="n">
        <v>1</v>
      </c>
      <c r="H62" s="42" t="s">
        <v>44</v>
      </c>
      <c r="I62" s="56" t="str">
        <f aca="false">A62</f>
        <v>A1.020.024</v>
      </c>
      <c r="J62" s="69"/>
      <c r="K62" s="46"/>
      <c r="L62" s="46"/>
      <c r="M62" s="60" t="n">
        <v>1</v>
      </c>
      <c r="N62" s="61" t="n">
        <v>2</v>
      </c>
      <c r="O62" s="61"/>
      <c r="P62" s="61" t="n">
        <v>0</v>
      </c>
      <c r="Q62" s="61" t="n">
        <v>2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2</v>
      </c>
      <c r="Y62" s="61" t="n">
        <v>0</v>
      </c>
      <c r="Z62" s="61" t="n">
        <v>0</v>
      </c>
      <c r="AA62" s="61" t="n">
        <v>1</v>
      </c>
      <c r="AB62" s="61" t="n">
        <v>2</v>
      </c>
      <c r="AC62" s="61" t="n">
        <v>0</v>
      </c>
      <c r="AD62" s="62" t="n">
        <v>0</v>
      </c>
      <c r="AE62" s="28" t="n">
        <v>60</v>
      </c>
      <c r="AF62" s="50"/>
    </row>
    <row r="63" customFormat="false" ht="14.15" hidden="false" customHeight="false" outlineLevel="0" collapsed="false">
      <c r="A63" s="58" t="s">
        <v>180</v>
      </c>
      <c r="B63" s="46" t="s">
        <v>181</v>
      </c>
      <c r="C63" s="68" t="s">
        <v>41</v>
      </c>
      <c r="D63" s="44" t="s">
        <v>168</v>
      </c>
      <c r="E63" s="42" t="s">
        <v>43</v>
      </c>
      <c r="F63" s="46" t="n">
        <v>1</v>
      </c>
      <c r="G63" s="46" t="n">
        <v>1</v>
      </c>
      <c r="H63" s="42" t="s">
        <v>44</v>
      </c>
      <c r="I63" s="56" t="str">
        <f aca="false">A63</f>
        <v>A1.020.025</v>
      </c>
      <c r="J63" s="44"/>
      <c r="K63" s="46"/>
      <c r="L63" s="46"/>
      <c r="M63" s="60" t="n">
        <v>1</v>
      </c>
      <c r="N63" s="61" t="n">
        <v>2</v>
      </c>
      <c r="O63" s="61"/>
      <c r="P63" s="61" t="n">
        <v>0</v>
      </c>
      <c r="Q63" s="61" t="n">
        <v>2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1</v>
      </c>
      <c r="Y63" s="61" t="n">
        <v>0</v>
      </c>
      <c r="Z63" s="61" t="n">
        <v>0</v>
      </c>
      <c r="AA63" s="61" t="n">
        <v>2</v>
      </c>
      <c r="AB63" s="61" t="n">
        <v>0</v>
      </c>
      <c r="AC63" s="61" t="n">
        <v>0</v>
      </c>
      <c r="AD63" s="62" t="n">
        <v>0</v>
      </c>
      <c r="AE63" s="28" t="n">
        <v>61</v>
      </c>
      <c r="AF63" s="50"/>
    </row>
    <row r="64" customFormat="false" ht="14.15" hidden="false" customHeight="false" outlineLevel="0" collapsed="false">
      <c r="A64" s="58" t="s">
        <v>182</v>
      </c>
      <c r="B64" s="46" t="s">
        <v>183</v>
      </c>
      <c r="C64" s="68" t="s">
        <v>41</v>
      </c>
      <c r="D64" s="69" t="s">
        <v>168</v>
      </c>
      <c r="E64" s="42" t="s">
        <v>43</v>
      </c>
      <c r="F64" s="46" t="n">
        <v>1</v>
      </c>
      <c r="G64" s="46" t="n">
        <v>1</v>
      </c>
      <c r="H64" s="42" t="s">
        <v>184</v>
      </c>
      <c r="I64" s="56" t="str">
        <f aca="false">A64</f>
        <v>A1.020.051</v>
      </c>
      <c r="J64" s="69"/>
      <c r="K64" s="46"/>
      <c r="L64" s="46"/>
      <c r="M64" s="60" t="n">
        <v>1</v>
      </c>
      <c r="N64" s="61" t="n">
        <v>1</v>
      </c>
      <c r="O64" s="61"/>
      <c r="P64" s="61" t="n">
        <v>0</v>
      </c>
      <c r="Q64" s="39" t="n">
        <v>1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1</v>
      </c>
      <c r="Y64" s="61" t="n">
        <v>0</v>
      </c>
      <c r="Z64" s="61" t="n">
        <v>0</v>
      </c>
      <c r="AA64" s="61" t="n">
        <v>1</v>
      </c>
      <c r="AB64" s="61" t="n">
        <v>0</v>
      </c>
      <c r="AC64" s="61" t="n">
        <v>0</v>
      </c>
      <c r="AD64" s="62" t="n">
        <v>0</v>
      </c>
      <c r="AE64" s="39" t="n">
        <v>62</v>
      </c>
      <c r="AF64" s="50"/>
    </row>
    <row r="65" customFormat="false" ht="15" hidden="false" customHeight="true" outlineLevel="0" collapsed="false">
      <c r="A65" s="58" t="s">
        <v>185</v>
      </c>
      <c r="B65" s="46" t="s">
        <v>186</v>
      </c>
      <c r="C65" s="68" t="s">
        <v>41</v>
      </c>
      <c r="D65" s="44" t="s">
        <v>168</v>
      </c>
      <c r="E65" s="42" t="s">
        <v>43</v>
      </c>
      <c r="F65" s="46" t="n">
        <v>3</v>
      </c>
      <c r="G65" s="46" t="n">
        <v>1</v>
      </c>
      <c r="H65" s="42" t="s">
        <v>187</v>
      </c>
      <c r="I65" s="56" t="str">
        <f aca="false">A65</f>
        <v>A1.020.084</v>
      </c>
      <c r="J65" s="44"/>
      <c r="K65" s="46"/>
      <c r="L65" s="46"/>
      <c r="M65" s="60" t="n">
        <v>1</v>
      </c>
      <c r="N65" s="61" t="n">
        <v>1</v>
      </c>
      <c r="O65" s="61"/>
      <c r="P65" s="61" t="n">
        <v>0</v>
      </c>
      <c r="Q65" s="39" t="n">
        <v>1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2</v>
      </c>
      <c r="Y65" s="61" t="n">
        <v>0</v>
      </c>
      <c r="Z65" s="61" t="n">
        <v>0</v>
      </c>
      <c r="AA65" s="61" t="n">
        <v>1</v>
      </c>
      <c r="AB65" s="61" t="n">
        <v>0</v>
      </c>
      <c r="AC65" s="61" t="n">
        <v>0</v>
      </c>
      <c r="AD65" s="62" t="n">
        <v>0</v>
      </c>
      <c r="AE65" s="39" t="n">
        <v>63</v>
      </c>
      <c r="AF65" s="50"/>
    </row>
    <row r="66" customFormat="false" ht="14.15" hidden="false" customHeight="false" outlineLevel="0" collapsed="false">
      <c r="A66" s="58" t="s">
        <v>188</v>
      </c>
      <c r="B66" s="46" t="s">
        <v>189</v>
      </c>
      <c r="C66" s="68" t="s">
        <v>41</v>
      </c>
      <c r="D66" s="69" t="s">
        <v>168</v>
      </c>
      <c r="E66" s="42" t="s">
        <v>43</v>
      </c>
      <c r="F66" s="46" t="n">
        <v>3</v>
      </c>
      <c r="G66" s="46" t="n">
        <v>1</v>
      </c>
      <c r="H66" s="42" t="s">
        <v>187</v>
      </c>
      <c r="I66" s="56" t="str">
        <f aca="false">A66</f>
        <v>A1.020.085</v>
      </c>
      <c r="J66" s="69"/>
      <c r="K66" s="46"/>
      <c r="L66" s="46"/>
      <c r="M66" s="60" t="n">
        <v>1</v>
      </c>
      <c r="N66" s="61" t="n">
        <v>1</v>
      </c>
      <c r="O66" s="61"/>
      <c r="P66" s="61" t="n">
        <v>0</v>
      </c>
      <c r="Q66" s="39" t="n">
        <v>1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1</v>
      </c>
      <c r="Y66" s="61" t="n">
        <v>0</v>
      </c>
      <c r="Z66" s="61" t="n">
        <v>0</v>
      </c>
      <c r="AA66" s="61" t="n">
        <v>1</v>
      </c>
      <c r="AB66" s="61" t="n">
        <v>0</v>
      </c>
      <c r="AC66" s="61" t="n">
        <v>0</v>
      </c>
      <c r="AD66" s="62" t="n">
        <v>0</v>
      </c>
      <c r="AE66" s="39" t="n">
        <v>64</v>
      </c>
      <c r="AF66" s="50"/>
    </row>
    <row r="67" customFormat="false" ht="14.15" hidden="false" customHeight="false" outlineLevel="0" collapsed="false">
      <c r="A67" s="58" t="s">
        <v>190</v>
      </c>
      <c r="B67" s="46" t="s">
        <v>191</v>
      </c>
      <c r="C67" s="68" t="s">
        <v>41</v>
      </c>
      <c r="D67" s="44" t="s">
        <v>168</v>
      </c>
      <c r="E67" s="42" t="s">
        <v>43</v>
      </c>
      <c r="F67" s="46" t="n">
        <v>3</v>
      </c>
      <c r="G67" s="46" t="n">
        <v>1</v>
      </c>
      <c r="H67" s="42" t="s">
        <v>187</v>
      </c>
      <c r="I67" s="56" t="str">
        <f aca="false">A67</f>
        <v>A1.020.095</v>
      </c>
      <c r="J67" s="44"/>
      <c r="K67" s="46"/>
      <c r="L67" s="46"/>
      <c r="M67" s="60" t="n">
        <v>1</v>
      </c>
      <c r="N67" s="61" t="n">
        <v>1</v>
      </c>
      <c r="O67" s="61"/>
      <c r="P67" s="61" t="n">
        <v>0</v>
      </c>
      <c r="Q67" s="39" t="n">
        <v>1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1</v>
      </c>
      <c r="Y67" s="61" t="n">
        <v>0</v>
      </c>
      <c r="Z67" s="61" t="n">
        <v>0</v>
      </c>
      <c r="AA67" s="61" t="n">
        <v>1</v>
      </c>
      <c r="AB67" s="61" t="n">
        <v>0</v>
      </c>
      <c r="AC67" s="61" t="n">
        <v>0</v>
      </c>
      <c r="AD67" s="62" t="n">
        <v>0</v>
      </c>
      <c r="AE67" s="28" t="n">
        <v>65</v>
      </c>
      <c r="AF67" s="50"/>
    </row>
    <row r="68" customFormat="false" ht="14.15" hidden="false" customHeight="false" outlineLevel="0" collapsed="false">
      <c r="A68" s="58" t="s">
        <v>192</v>
      </c>
      <c r="B68" s="46" t="s">
        <v>193</v>
      </c>
      <c r="C68" s="68" t="s">
        <v>41</v>
      </c>
      <c r="D68" s="69" t="s">
        <v>168</v>
      </c>
      <c r="E68" s="42" t="s">
        <v>43</v>
      </c>
      <c r="F68" s="46" t="n">
        <v>2</v>
      </c>
      <c r="G68" s="46" t="n">
        <v>1</v>
      </c>
      <c r="H68" s="42" t="s">
        <v>187</v>
      </c>
      <c r="I68" s="56" t="str">
        <f aca="false">A68</f>
        <v>A1.020.102</v>
      </c>
      <c r="J68" s="69"/>
      <c r="K68" s="46"/>
      <c r="L68" s="46"/>
      <c r="M68" s="60" t="n">
        <v>1</v>
      </c>
      <c r="N68" s="61" t="n">
        <v>1</v>
      </c>
      <c r="O68" s="61"/>
      <c r="P68" s="61" t="n">
        <v>0</v>
      </c>
      <c r="Q68" s="39" t="n">
        <v>1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1</v>
      </c>
      <c r="Y68" s="61" t="n">
        <v>0</v>
      </c>
      <c r="Z68" s="61" t="n">
        <v>0</v>
      </c>
      <c r="AA68" s="61" t="n">
        <v>1</v>
      </c>
      <c r="AB68" s="61" t="n">
        <v>0</v>
      </c>
      <c r="AC68" s="61" t="n">
        <v>0</v>
      </c>
      <c r="AD68" s="62" t="n">
        <v>0</v>
      </c>
      <c r="AE68" s="28" t="n">
        <v>66</v>
      </c>
      <c r="AF68" s="50"/>
    </row>
    <row r="69" customFormat="false" ht="14.15" hidden="false" customHeight="false" outlineLevel="0" collapsed="false">
      <c r="A69" s="58" t="s">
        <v>194</v>
      </c>
      <c r="B69" s="46" t="s">
        <v>195</v>
      </c>
      <c r="C69" s="68" t="s">
        <v>41</v>
      </c>
      <c r="D69" s="44" t="s">
        <v>168</v>
      </c>
      <c r="E69" s="42" t="s">
        <v>43</v>
      </c>
      <c r="F69" s="46" t="n">
        <v>2</v>
      </c>
      <c r="G69" s="46" t="n">
        <v>1</v>
      </c>
      <c r="H69" s="42" t="s">
        <v>187</v>
      </c>
      <c r="I69" s="56" t="str">
        <f aca="false">A69</f>
        <v>A1.020.103</v>
      </c>
      <c r="J69" s="44"/>
      <c r="K69" s="46"/>
      <c r="L69" s="46"/>
      <c r="M69" s="60" t="n">
        <v>1</v>
      </c>
      <c r="N69" s="61" t="n">
        <v>1</v>
      </c>
      <c r="O69" s="61"/>
      <c r="P69" s="61" t="n">
        <v>0</v>
      </c>
      <c r="Q69" s="39" t="n">
        <v>1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1</v>
      </c>
      <c r="Y69" s="61" t="n">
        <v>0</v>
      </c>
      <c r="Z69" s="61" t="n">
        <v>0</v>
      </c>
      <c r="AA69" s="61" t="n">
        <v>1</v>
      </c>
      <c r="AB69" s="61" t="n">
        <v>0</v>
      </c>
      <c r="AC69" s="61" t="n">
        <v>0</v>
      </c>
      <c r="AD69" s="62" t="n">
        <v>0</v>
      </c>
      <c r="AE69" s="39" t="n">
        <v>67</v>
      </c>
      <c r="AF69" s="50"/>
    </row>
    <row r="70" customFormat="false" ht="14.15" hidden="false" customHeight="false" outlineLevel="0" collapsed="false">
      <c r="A70" s="58" t="s">
        <v>196</v>
      </c>
      <c r="B70" s="46" t="s">
        <v>197</v>
      </c>
      <c r="C70" s="68" t="s">
        <v>41</v>
      </c>
      <c r="D70" s="69" t="s">
        <v>168</v>
      </c>
      <c r="E70" s="42" t="s">
        <v>43</v>
      </c>
      <c r="F70" s="46" t="n">
        <v>2</v>
      </c>
      <c r="G70" s="46" t="n">
        <v>1</v>
      </c>
      <c r="H70" s="42" t="s">
        <v>187</v>
      </c>
      <c r="I70" s="56" t="str">
        <f aca="false">A70</f>
        <v>A1.020.104</v>
      </c>
      <c r="J70" s="69"/>
      <c r="K70" s="46"/>
      <c r="L70" s="46"/>
      <c r="M70" s="60" t="n">
        <v>1</v>
      </c>
      <c r="N70" s="61" t="n">
        <v>1</v>
      </c>
      <c r="O70" s="61"/>
      <c r="P70" s="61" t="n">
        <v>0</v>
      </c>
      <c r="Q70" s="39" t="n">
        <v>1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1</v>
      </c>
      <c r="Y70" s="61" t="n">
        <v>0</v>
      </c>
      <c r="Z70" s="61" t="n">
        <v>0</v>
      </c>
      <c r="AA70" s="61" t="n">
        <v>1</v>
      </c>
      <c r="AB70" s="61" t="n">
        <v>0</v>
      </c>
      <c r="AC70" s="61" t="n">
        <v>0</v>
      </c>
      <c r="AD70" s="62" t="n">
        <v>0</v>
      </c>
      <c r="AE70" s="39" t="n">
        <v>68</v>
      </c>
      <c r="AF70" s="50"/>
    </row>
    <row r="71" customFormat="false" ht="14.15" hidden="false" customHeight="false" outlineLevel="0" collapsed="false">
      <c r="A71" s="58" t="s">
        <v>198</v>
      </c>
      <c r="B71" s="46" t="s">
        <v>199</v>
      </c>
      <c r="C71" s="59" t="s">
        <v>41</v>
      </c>
      <c r="D71" s="44" t="s">
        <v>168</v>
      </c>
      <c r="E71" s="42" t="s">
        <v>43</v>
      </c>
      <c r="F71" s="46" t="n">
        <v>4</v>
      </c>
      <c r="G71" s="42" t="n">
        <v>2</v>
      </c>
      <c r="H71" s="42" t="s">
        <v>44</v>
      </c>
      <c r="I71" s="56" t="str">
        <f aca="false">A71</f>
        <v>A1.030.005</v>
      </c>
      <c r="J71" s="44"/>
      <c r="K71" s="46"/>
      <c r="L71" s="46"/>
      <c r="M71" s="60" t="n">
        <v>1</v>
      </c>
      <c r="N71" s="61" t="n">
        <v>1</v>
      </c>
      <c r="O71" s="61"/>
      <c r="P71" s="61" t="n">
        <v>0</v>
      </c>
      <c r="Q71" s="39" t="n">
        <v>1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1</v>
      </c>
      <c r="Y71" s="61" t="n">
        <v>0</v>
      </c>
      <c r="Z71" s="61" t="n">
        <v>0</v>
      </c>
      <c r="AA71" s="61" t="n">
        <v>1</v>
      </c>
      <c r="AB71" s="61" t="n">
        <v>0</v>
      </c>
      <c r="AC71" s="61" t="n">
        <v>0</v>
      </c>
      <c r="AD71" s="62" t="n">
        <v>0</v>
      </c>
      <c r="AE71" s="39" t="n">
        <v>69</v>
      </c>
      <c r="AF71" s="50"/>
    </row>
    <row r="72" customFormat="false" ht="14.15" hidden="false" customHeight="false" outlineLevel="0" collapsed="false">
      <c r="A72" s="58" t="s">
        <v>200</v>
      </c>
      <c r="B72" s="46" t="s">
        <v>201</v>
      </c>
      <c r="C72" s="59" t="s">
        <v>41</v>
      </c>
      <c r="D72" s="69" t="s">
        <v>168</v>
      </c>
      <c r="E72" s="42" t="s">
        <v>43</v>
      </c>
      <c r="F72" s="46" t="n">
        <v>4</v>
      </c>
      <c r="G72" s="67" t="n">
        <v>2</v>
      </c>
      <c r="H72" s="42" t="s">
        <v>44</v>
      </c>
      <c r="I72" s="56" t="str">
        <f aca="false">A72</f>
        <v>A1.030.008</v>
      </c>
      <c r="J72" s="69"/>
      <c r="K72" s="46"/>
      <c r="L72" s="46"/>
      <c r="M72" s="60" t="n">
        <v>1</v>
      </c>
      <c r="N72" s="61" t="n">
        <v>1</v>
      </c>
      <c r="O72" s="61"/>
      <c r="P72" s="61" t="n">
        <v>0</v>
      </c>
      <c r="Q72" s="39" t="n">
        <v>1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1</v>
      </c>
      <c r="Y72" s="61" t="n">
        <v>0</v>
      </c>
      <c r="Z72" s="61" t="n">
        <v>0</v>
      </c>
      <c r="AA72" s="61" t="n">
        <v>1</v>
      </c>
      <c r="AB72" s="61" t="n">
        <v>0</v>
      </c>
      <c r="AC72" s="61" t="n">
        <v>0</v>
      </c>
      <c r="AD72" s="62" t="n">
        <v>0</v>
      </c>
      <c r="AE72" s="28" t="n">
        <v>70</v>
      </c>
      <c r="AF72" s="50"/>
    </row>
    <row r="73" customFormat="false" ht="14.15" hidden="false" customHeight="false" outlineLevel="0" collapsed="false">
      <c r="A73" s="58" t="s">
        <v>202</v>
      </c>
      <c r="B73" s="46" t="s">
        <v>203</v>
      </c>
      <c r="C73" s="68" t="s">
        <v>41</v>
      </c>
      <c r="D73" s="44" t="s">
        <v>168</v>
      </c>
      <c r="E73" s="42" t="s">
        <v>43</v>
      </c>
      <c r="F73" s="46" t="n">
        <v>4</v>
      </c>
      <c r="G73" s="46" t="n">
        <v>2</v>
      </c>
      <c r="H73" s="42" t="s">
        <v>44</v>
      </c>
      <c r="I73" s="56" t="str">
        <f aca="false">A73</f>
        <v>A1.030.018</v>
      </c>
      <c r="J73" s="44"/>
      <c r="K73" s="46"/>
      <c r="L73" s="46"/>
      <c r="M73" s="60" t="n">
        <v>1</v>
      </c>
      <c r="N73" s="61" t="n">
        <v>1</v>
      </c>
      <c r="O73" s="61"/>
      <c r="P73" s="61" t="n">
        <v>0</v>
      </c>
      <c r="Q73" s="39" t="n">
        <v>1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1</v>
      </c>
      <c r="Y73" s="61" t="n">
        <v>0</v>
      </c>
      <c r="Z73" s="61" t="n">
        <v>0</v>
      </c>
      <c r="AA73" s="61" t="n">
        <v>1</v>
      </c>
      <c r="AB73" s="61" t="n">
        <v>0</v>
      </c>
      <c r="AC73" s="61" t="n">
        <v>0</v>
      </c>
      <c r="AD73" s="62" t="n">
        <v>0</v>
      </c>
      <c r="AE73" s="28" t="n">
        <v>71</v>
      </c>
      <c r="AF73" s="50"/>
    </row>
    <row r="74" customFormat="false" ht="14.15" hidden="false" customHeight="false" outlineLevel="0" collapsed="false">
      <c r="A74" s="58" t="s">
        <v>204</v>
      </c>
      <c r="B74" s="46" t="s">
        <v>205</v>
      </c>
      <c r="C74" s="68" t="s">
        <v>41</v>
      </c>
      <c r="D74" s="69" t="s">
        <v>168</v>
      </c>
      <c r="E74" s="42" t="s">
        <v>43</v>
      </c>
      <c r="F74" s="46" t="n">
        <v>4</v>
      </c>
      <c r="G74" s="46" t="n">
        <v>2</v>
      </c>
      <c r="H74" s="42" t="s">
        <v>44</v>
      </c>
      <c r="I74" s="56" t="str">
        <f aca="false">A74</f>
        <v>A1.030.020</v>
      </c>
      <c r="J74" s="69"/>
      <c r="K74" s="46"/>
      <c r="L74" s="46"/>
      <c r="M74" s="60" t="n">
        <v>1</v>
      </c>
      <c r="N74" s="61" t="n">
        <v>1</v>
      </c>
      <c r="O74" s="61"/>
      <c r="P74" s="61" t="n">
        <v>0</v>
      </c>
      <c r="Q74" s="39" t="n">
        <v>1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1</v>
      </c>
      <c r="Y74" s="61" t="n">
        <v>0</v>
      </c>
      <c r="Z74" s="61" t="n">
        <v>0</v>
      </c>
      <c r="AA74" s="61" t="n">
        <v>1</v>
      </c>
      <c r="AB74" s="61" t="n">
        <v>0</v>
      </c>
      <c r="AC74" s="61" t="n">
        <v>0</v>
      </c>
      <c r="AD74" s="62" t="n">
        <v>0</v>
      </c>
      <c r="AE74" s="39" t="n">
        <v>72</v>
      </c>
      <c r="AF74" s="50"/>
    </row>
    <row r="75" customFormat="false" ht="14.15" hidden="false" customHeight="false" outlineLevel="0" collapsed="false">
      <c r="A75" s="58" t="s">
        <v>206</v>
      </c>
      <c r="B75" s="46" t="s">
        <v>207</v>
      </c>
      <c r="C75" s="68" t="s">
        <v>41</v>
      </c>
      <c r="D75" s="44" t="s">
        <v>168</v>
      </c>
      <c r="E75" s="42" t="s">
        <v>43</v>
      </c>
      <c r="F75" s="46" t="n">
        <v>6</v>
      </c>
      <c r="G75" s="46" t="n">
        <v>2</v>
      </c>
      <c r="H75" s="42"/>
      <c r="I75" s="56" t="str">
        <f aca="false">A75</f>
        <v>A1.030.049</v>
      </c>
      <c r="J75" s="44"/>
      <c r="K75" s="46"/>
      <c r="L75" s="46"/>
      <c r="M75" s="60" t="n">
        <v>1</v>
      </c>
      <c r="N75" s="61" t="n">
        <v>1</v>
      </c>
      <c r="O75" s="61"/>
      <c r="P75" s="61" t="n">
        <v>0</v>
      </c>
      <c r="Q75" s="39" t="n">
        <v>1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1</v>
      </c>
      <c r="Y75" s="61" t="n">
        <v>0</v>
      </c>
      <c r="Z75" s="61" t="n">
        <v>0</v>
      </c>
      <c r="AA75" s="61" t="n">
        <v>1</v>
      </c>
      <c r="AB75" s="61" t="n">
        <v>0</v>
      </c>
      <c r="AC75" s="61" t="n">
        <v>0</v>
      </c>
      <c r="AD75" s="62" t="n">
        <v>0</v>
      </c>
      <c r="AE75" s="39" t="n">
        <v>73</v>
      </c>
      <c r="AF75" s="50"/>
    </row>
    <row r="76" customFormat="false" ht="14.15" hidden="false" customHeight="false" outlineLevel="0" collapsed="false">
      <c r="A76" s="58" t="s">
        <v>208</v>
      </c>
      <c r="B76" s="46" t="s">
        <v>209</v>
      </c>
      <c r="C76" s="59" t="s">
        <v>41</v>
      </c>
      <c r="D76" s="69" t="s">
        <v>168</v>
      </c>
      <c r="E76" s="42" t="s">
        <v>43</v>
      </c>
      <c r="F76" s="46" t="n">
        <v>6</v>
      </c>
      <c r="G76" s="46" t="n">
        <v>2</v>
      </c>
      <c r="H76" s="42" t="s">
        <v>44</v>
      </c>
      <c r="I76" s="56" t="str">
        <f aca="false">A76</f>
        <v>A1.030.053</v>
      </c>
      <c r="J76" s="69"/>
      <c r="K76" s="46"/>
      <c r="L76" s="46"/>
      <c r="M76" s="60" t="n">
        <v>1</v>
      </c>
      <c r="N76" s="61" t="n">
        <v>1</v>
      </c>
      <c r="O76" s="61"/>
      <c r="P76" s="61" t="n">
        <v>0</v>
      </c>
      <c r="Q76" s="39" t="n">
        <v>1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3</v>
      </c>
      <c r="Y76" s="61" t="n">
        <v>0</v>
      </c>
      <c r="Z76" s="61" t="n">
        <v>0</v>
      </c>
      <c r="AA76" s="61" t="n">
        <v>1</v>
      </c>
      <c r="AB76" s="61" t="n">
        <v>0</v>
      </c>
      <c r="AC76" s="61" t="n">
        <v>0</v>
      </c>
      <c r="AD76" s="62" t="n">
        <v>0</v>
      </c>
      <c r="AE76" s="39" t="n">
        <v>74</v>
      </c>
      <c r="AF76" s="50"/>
    </row>
    <row r="77" customFormat="false" ht="14.15" hidden="false" customHeight="false" outlineLevel="0" collapsed="false">
      <c r="A77" s="58" t="s">
        <v>210</v>
      </c>
      <c r="B77" s="46" t="s">
        <v>211</v>
      </c>
      <c r="C77" s="59" t="s">
        <v>41</v>
      </c>
      <c r="D77" s="44" t="s">
        <v>168</v>
      </c>
      <c r="E77" s="46" t="s">
        <v>57</v>
      </c>
      <c r="F77" s="46" t="n">
        <v>2</v>
      </c>
      <c r="G77" s="46" t="n">
        <v>1</v>
      </c>
      <c r="H77" s="42" t="s">
        <v>58</v>
      </c>
      <c r="I77" s="56" t="str">
        <f aca="false">A77</f>
        <v>A2.020.001</v>
      </c>
      <c r="J77" s="44"/>
      <c r="K77" s="46"/>
      <c r="L77" s="46"/>
      <c r="M77" s="60" t="n">
        <v>1</v>
      </c>
      <c r="N77" s="61" t="n">
        <v>2</v>
      </c>
      <c r="O77" s="61"/>
      <c r="P77" s="61" t="n">
        <v>0</v>
      </c>
      <c r="Q77" s="61" t="n">
        <v>2</v>
      </c>
      <c r="R77" s="61" t="n">
        <v>0</v>
      </c>
      <c r="S77" s="61" t="n">
        <v>0</v>
      </c>
      <c r="T77" s="61" t="n">
        <v>0</v>
      </c>
      <c r="U77" s="61" t="n">
        <v>0</v>
      </c>
      <c r="V77" s="61" t="n">
        <v>0</v>
      </c>
      <c r="W77" s="61" t="n">
        <v>0</v>
      </c>
      <c r="X77" s="61" t="n">
        <v>1</v>
      </c>
      <c r="Y77" s="61" t="n">
        <v>0</v>
      </c>
      <c r="Z77" s="61" t="n">
        <v>0</v>
      </c>
      <c r="AA77" s="61" t="n">
        <v>1</v>
      </c>
      <c r="AB77" s="61" t="n">
        <v>0</v>
      </c>
      <c r="AC77" s="61" t="n">
        <v>0</v>
      </c>
      <c r="AD77" s="62" t="n">
        <v>0</v>
      </c>
      <c r="AE77" s="28" t="n">
        <v>75</v>
      </c>
      <c r="AF77" s="50"/>
    </row>
    <row r="78" customFormat="false" ht="14.15" hidden="false" customHeight="false" outlineLevel="0" collapsed="false">
      <c r="A78" s="58" t="s">
        <v>212</v>
      </c>
      <c r="B78" s="46" t="s">
        <v>213</v>
      </c>
      <c r="C78" s="68" t="s">
        <v>41</v>
      </c>
      <c r="D78" s="69" t="s">
        <v>168</v>
      </c>
      <c r="E78" s="46" t="s">
        <v>57</v>
      </c>
      <c r="F78" s="46" t="n">
        <v>2</v>
      </c>
      <c r="G78" s="46" t="n">
        <v>1</v>
      </c>
      <c r="H78" s="42" t="s">
        <v>58</v>
      </c>
      <c r="I78" s="56" t="str">
        <f aca="false">A78</f>
        <v>A2.020.002</v>
      </c>
      <c r="J78" s="69"/>
      <c r="K78" s="46"/>
      <c r="L78" s="46"/>
      <c r="M78" s="60" t="n">
        <v>1</v>
      </c>
      <c r="N78" s="61" t="n">
        <v>2</v>
      </c>
      <c r="O78" s="61"/>
      <c r="P78" s="61" t="n">
        <v>0</v>
      </c>
      <c r="Q78" s="61" t="n">
        <v>2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0</v>
      </c>
      <c r="X78" s="61" t="n">
        <v>2</v>
      </c>
      <c r="Y78" s="61" t="n">
        <v>0</v>
      </c>
      <c r="Z78" s="61" t="n">
        <v>0</v>
      </c>
      <c r="AA78" s="61" t="n">
        <v>2</v>
      </c>
      <c r="AB78" s="61" t="n">
        <v>0</v>
      </c>
      <c r="AC78" s="61" t="n">
        <v>0</v>
      </c>
      <c r="AD78" s="62" t="n">
        <v>0</v>
      </c>
      <c r="AE78" s="28" t="n">
        <v>76</v>
      </c>
      <c r="AF78" s="50"/>
    </row>
    <row r="79" customFormat="false" ht="14.15" hidden="false" customHeight="false" outlineLevel="0" collapsed="false">
      <c r="A79" s="58" t="s">
        <v>214</v>
      </c>
      <c r="B79" s="46" t="s">
        <v>215</v>
      </c>
      <c r="C79" s="68" t="s">
        <v>41</v>
      </c>
      <c r="D79" s="44" t="s">
        <v>168</v>
      </c>
      <c r="E79" s="46" t="s">
        <v>57</v>
      </c>
      <c r="F79" s="46" t="n">
        <v>2</v>
      </c>
      <c r="G79" s="46" t="n">
        <v>1</v>
      </c>
      <c r="H79" s="42" t="s">
        <v>58</v>
      </c>
      <c r="I79" s="56" t="str">
        <f aca="false">A79</f>
        <v>A2.020.003</v>
      </c>
      <c r="J79" s="44"/>
      <c r="K79" s="46"/>
      <c r="L79" s="46"/>
      <c r="M79" s="60" t="n">
        <v>1</v>
      </c>
      <c r="N79" s="61" t="n">
        <v>2</v>
      </c>
      <c r="O79" s="61"/>
      <c r="P79" s="61" t="n">
        <v>0</v>
      </c>
      <c r="Q79" s="61" t="n">
        <v>2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1</v>
      </c>
      <c r="Y79" s="61" t="n">
        <v>0</v>
      </c>
      <c r="Z79" s="61" t="n">
        <v>0</v>
      </c>
      <c r="AA79" s="61" t="n">
        <v>2</v>
      </c>
      <c r="AB79" s="61" t="n">
        <v>0</v>
      </c>
      <c r="AC79" s="61" t="n">
        <v>0</v>
      </c>
      <c r="AD79" s="62" t="n">
        <v>0</v>
      </c>
      <c r="AE79" s="39" t="n">
        <v>77</v>
      </c>
      <c r="AF79" s="50"/>
    </row>
    <row r="80" customFormat="false" ht="14.15" hidden="false" customHeight="false" outlineLevel="0" collapsed="false">
      <c r="A80" s="58" t="s">
        <v>216</v>
      </c>
      <c r="B80" s="46" t="s">
        <v>217</v>
      </c>
      <c r="C80" s="68" t="s">
        <v>41</v>
      </c>
      <c r="D80" s="69" t="s">
        <v>168</v>
      </c>
      <c r="E80" s="46" t="s">
        <v>57</v>
      </c>
      <c r="F80" s="46" t="n">
        <v>2</v>
      </c>
      <c r="G80" s="46" t="n">
        <v>1</v>
      </c>
      <c r="H80" s="42"/>
      <c r="I80" s="45" t="s">
        <v>218</v>
      </c>
      <c r="J80" s="69"/>
      <c r="K80" s="46"/>
      <c r="L80" s="46"/>
      <c r="M80" s="60" t="n">
        <v>1</v>
      </c>
      <c r="N80" s="61" t="n">
        <v>1</v>
      </c>
      <c r="O80" s="61"/>
      <c r="P80" s="61" t="n">
        <v>0</v>
      </c>
      <c r="Q80" s="39" t="n">
        <v>1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2</v>
      </c>
      <c r="Y80" s="61" t="n">
        <v>0</v>
      </c>
      <c r="Z80" s="61" t="n">
        <v>0</v>
      </c>
      <c r="AA80" s="61" t="n">
        <v>1</v>
      </c>
      <c r="AB80" s="61" t="n">
        <v>0</v>
      </c>
      <c r="AC80" s="61" t="n">
        <v>0</v>
      </c>
      <c r="AD80" s="62" t="n">
        <v>0</v>
      </c>
      <c r="AE80" s="39" t="n">
        <v>78</v>
      </c>
      <c r="AF80" s="50"/>
    </row>
    <row r="81" customFormat="false" ht="14.15" hidden="false" customHeight="false" outlineLevel="0" collapsed="false">
      <c r="A81" s="58" t="s">
        <v>219</v>
      </c>
      <c r="B81" s="46" t="s">
        <v>220</v>
      </c>
      <c r="C81" s="59" t="s">
        <v>41</v>
      </c>
      <c r="D81" s="44" t="s">
        <v>168</v>
      </c>
      <c r="E81" s="46" t="s">
        <v>57</v>
      </c>
      <c r="F81" s="46" t="n">
        <v>2</v>
      </c>
      <c r="G81" s="46" t="n">
        <v>1</v>
      </c>
      <c r="H81" s="42" t="s">
        <v>58</v>
      </c>
      <c r="I81" s="56" t="str">
        <f aca="false">A81</f>
        <v>A2.020.012</v>
      </c>
      <c r="J81" s="44"/>
      <c r="K81" s="46"/>
      <c r="L81" s="46"/>
      <c r="M81" s="60" t="n">
        <v>1</v>
      </c>
      <c r="N81" s="61" t="n">
        <v>1</v>
      </c>
      <c r="O81" s="61"/>
      <c r="P81" s="61" t="n">
        <v>0</v>
      </c>
      <c r="Q81" s="39" t="n">
        <v>1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1</v>
      </c>
      <c r="Y81" s="61" t="n">
        <v>0</v>
      </c>
      <c r="Z81" s="61" t="n">
        <v>0</v>
      </c>
      <c r="AA81" s="61" t="n">
        <v>1</v>
      </c>
      <c r="AB81" s="61" t="n">
        <v>0</v>
      </c>
      <c r="AC81" s="61" t="n">
        <v>0</v>
      </c>
      <c r="AD81" s="62" t="n">
        <v>0</v>
      </c>
      <c r="AE81" s="39" t="n">
        <v>79</v>
      </c>
      <c r="AF81" s="50"/>
    </row>
    <row r="82" customFormat="false" ht="14.15" hidden="false" customHeight="false" outlineLevel="0" collapsed="false">
      <c r="A82" s="58" t="s">
        <v>221</v>
      </c>
      <c r="B82" s="46" t="s">
        <v>222</v>
      </c>
      <c r="C82" s="59" t="s">
        <v>41</v>
      </c>
      <c r="D82" s="69" t="s">
        <v>168</v>
      </c>
      <c r="E82" s="46" t="s">
        <v>57</v>
      </c>
      <c r="F82" s="46" t="n">
        <v>1</v>
      </c>
      <c r="G82" s="46" t="n">
        <v>1</v>
      </c>
      <c r="H82" s="42" t="s">
        <v>58</v>
      </c>
      <c r="I82" s="45" t="s">
        <v>55</v>
      </c>
      <c r="J82" s="69"/>
      <c r="K82" s="46"/>
      <c r="L82" s="46"/>
      <c r="M82" s="60" t="n">
        <v>1</v>
      </c>
      <c r="N82" s="61" t="n">
        <v>2</v>
      </c>
      <c r="O82" s="61"/>
      <c r="P82" s="61" t="n">
        <v>0</v>
      </c>
      <c r="Q82" s="61" t="n">
        <v>2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3</v>
      </c>
      <c r="Y82" s="61" t="n">
        <v>0</v>
      </c>
      <c r="Z82" s="61" t="n">
        <v>0</v>
      </c>
      <c r="AA82" s="61" t="n">
        <v>4</v>
      </c>
      <c r="AB82" s="61" t="n">
        <v>0</v>
      </c>
      <c r="AC82" s="61" t="n">
        <v>0</v>
      </c>
      <c r="AD82" s="62" t="n">
        <v>0</v>
      </c>
      <c r="AE82" s="28" t="n">
        <v>80</v>
      </c>
      <c r="AF82" s="50"/>
    </row>
    <row r="83" customFormat="false" ht="14.15" hidden="false" customHeight="false" outlineLevel="0" collapsed="false">
      <c r="A83" s="58" t="s">
        <v>223</v>
      </c>
      <c r="B83" s="46" t="s">
        <v>224</v>
      </c>
      <c r="C83" s="68" t="s">
        <v>41</v>
      </c>
      <c r="D83" s="44" t="s">
        <v>168</v>
      </c>
      <c r="E83" s="46" t="s">
        <v>57</v>
      </c>
      <c r="F83" s="46" t="n">
        <v>3</v>
      </c>
      <c r="G83" s="46" t="n">
        <v>1</v>
      </c>
      <c r="H83" s="42" t="s">
        <v>58</v>
      </c>
      <c r="I83" s="56" t="str">
        <f aca="false">A83</f>
        <v>A2.020.022</v>
      </c>
      <c r="J83" s="44"/>
      <c r="K83" s="46"/>
      <c r="L83" s="46"/>
      <c r="M83" s="60" t="n">
        <v>1</v>
      </c>
      <c r="N83" s="61" t="n">
        <v>2</v>
      </c>
      <c r="O83" s="61"/>
      <c r="P83" s="61" t="n">
        <v>0</v>
      </c>
      <c r="Q83" s="61" t="n">
        <v>2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2</v>
      </c>
      <c r="Y83" s="61" t="n">
        <v>0</v>
      </c>
      <c r="Z83" s="61" t="n">
        <v>0</v>
      </c>
      <c r="AA83" s="61" t="n">
        <v>2</v>
      </c>
      <c r="AB83" s="61" t="n">
        <v>0</v>
      </c>
      <c r="AC83" s="61" t="n">
        <v>0</v>
      </c>
      <c r="AD83" s="62" t="n">
        <v>0</v>
      </c>
      <c r="AE83" s="28" t="n">
        <v>81</v>
      </c>
      <c r="AF83" s="50"/>
    </row>
    <row r="84" customFormat="false" ht="14.15" hidden="false" customHeight="false" outlineLevel="0" collapsed="false">
      <c r="A84" s="58" t="s">
        <v>225</v>
      </c>
      <c r="B84" s="46" t="s">
        <v>226</v>
      </c>
      <c r="C84" s="68" t="s">
        <v>41</v>
      </c>
      <c r="D84" s="69" t="s">
        <v>168</v>
      </c>
      <c r="E84" s="46" t="s">
        <v>57</v>
      </c>
      <c r="F84" s="46" t="n">
        <v>3</v>
      </c>
      <c r="G84" s="46" t="n">
        <v>1</v>
      </c>
      <c r="H84" s="42" t="s">
        <v>58</v>
      </c>
      <c r="I84" s="56" t="str">
        <f aca="false">A84</f>
        <v>A2.020.025</v>
      </c>
      <c r="J84" s="69"/>
      <c r="K84" s="46"/>
      <c r="L84" s="46"/>
      <c r="M84" s="60" t="n">
        <v>1</v>
      </c>
      <c r="N84" s="61" t="n">
        <v>1</v>
      </c>
      <c r="O84" s="61"/>
      <c r="P84" s="61" t="n">
        <v>0</v>
      </c>
      <c r="Q84" s="39" t="n">
        <v>1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1</v>
      </c>
      <c r="Y84" s="61" t="n">
        <v>0</v>
      </c>
      <c r="Z84" s="61" t="n">
        <v>0</v>
      </c>
      <c r="AA84" s="61" t="n">
        <v>1</v>
      </c>
      <c r="AB84" s="61" t="n">
        <v>0</v>
      </c>
      <c r="AC84" s="61" t="n">
        <v>0</v>
      </c>
      <c r="AD84" s="62" t="n">
        <v>0</v>
      </c>
      <c r="AE84" s="39" t="n">
        <v>82</v>
      </c>
      <c r="AF84" s="50"/>
    </row>
    <row r="85" customFormat="false" ht="14.15" hidden="false" customHeight="false" outlineLevel="0" collapsed="false">
      <c r="A85" s="58" t="s">
        <v>227</v>
      </c>
      <c r="B85" s="46" t="s">
        <v>228</v>
      </c>
      <c r="C85" s="68" t="s">
        <v>41</v>
      </c>
      <c r="D85" s="44" t="s">
        <v>168</v>
      </c>
      <c r="E85" s="46" t="s">
        <v>57</v>
      </c>
      <c r="F85" s="46" t="n">
        <v>3</v>
      </c>
      <c r="G85" s="42" t="n">
        <v>1</v>
      </c>
      <c r="H85" s="42"/>
      <c r="I85" s="45" t="s">
        <v>229</v>
      </c>
      <c r="J85" s="44"/>
      <c r="K85" s="46"/>
      <c r="L85" s="46"/>
      <c r="M85" s="60" t="n">
        <v>1</v>
      </c>
      <c r="N85" s="61" t="n">
        <v>1</v>
      </c>
      <c r="O85" s="61"/>
      <c r="P85" s="61" t="n">
        <v>0</v>
      </c>
      <c r="Q85" s="39" t="n">
        <v>1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1</v>
      </c>
      <c r="Y85" s="61" t="n">
        <v>0</v>
      </c>
      <c r="Z85" s="61" t="n">
        <v>0</v>
      </c>
      <c r="AA85" s="61" t="n">
        <v>1</v>
      </c>
      <c r="AB85" s="61" t="n">
        <v>0</v>
      </c>
      <c r="AC85" s="61" t="n">
        <v>0</v>
      </c>
      <c r="AD85" s="62" t="n">
        <v>0</v>
      </c>
      <c r="AE85" s="39" t="n">
        <v>83</v>
      </c>
      <c r="AF85" s="50"/>
    </row>
    <row r="86" customFormat="false" ht="14.15" hidden="false" customHeight="false" outlineLevel="0" collapsed="false">
      <c r="A86" s="58" t="s">
        <v>230</v>
      </c>
      <c r="B86" s="46" t="s">
        <v>231</v>
      </c>
      <c r="C86" s="59" t="s">
        <v>41</v>
      </c>
      <c r="D86" s="69" t="s">
        <v>168</v>
      </c>
      <c r="E86" s="46" t="s">
        <v>57</v>
      </c>
      <c r="F86" s="46" t="n">
        <v>2</v>
      </c>
      <c r="G86" s="67" t="n">
        <v>1</v>
      </c>
      <c r="H86" s="42" t="s">
        <v>58</v>
      </c>
      <c r="I86" s="56" t="str">
        <f aca="false">A86</f>
        <v>A2.020.044</v>
      </c>
      <c r="J86" s="69"/>
      <c r="K86" s="46"/>
      <c r="L86" s="46"/>
      <c r="M86" s="60" t="n">
        <v>1</v>
      </c>
      <c r="N86" s="61" t="n">
        <v>1</v>
      </c>
      <c r="O86" s="61"/>
      <c r="P86" s="61" t="n">
        <v>0</v>
      </c>
      <c r="Q86" s="39" t="n">
        <v>1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2</v>
      </c>
      <c r="Y86" s="61" t="n">
        <v>0</v>
      </c>
      <c r="Z86" s="61" t="n">
        <v>0</v>
      </c>
      <c r="AA86" s="61" t="n">
        <v>2</v>
      </c>
      <c r="AB86" s="61" t="n">
        <v>0</v>
      </c>
      <c r="AC86" s="61" t="n">
        <v>0</v>
      </c>
      <c r="AD86" s="62" t="n">
        <v>0</v>
      </c>
      <c r="AE86" s="39" t="n">
        <v>84</v>
      </c>
      <c r="AF86" s="50"/>
    </row>
    <row r="87" customFormat="false" ht="14.15" hidden="false" customHeight="false" outlineLevel="0" collapsed="false">
      <c r="A87" s="58" t="s">
        <v>232</v>
      </c>
      <c r="B87" s="46" t="s">
        <v>233</v>
      </c>
      <c r="C87" s="59" t="s">
        <v>41</v>
      </c>
      <c r="D87" s="44" t="s">
        <v>168</v>
      </c>
      <c r="E87" s="46" t="s">
        <v>57</v>
      </c>
      <c r="F87" s="46" t="n">
        <v>2</v>
      </c>
      <c r="G87" s="46" t="n">
        <v>1</v>
      </c>
      <c r="H87" s="42" t="s">
        <v>58</v>
      </c>
      <c r="I87" s="56" t="str">
        <f aca="false">A87</f>
        <v>A2.020.045</v>
      </c>
      <c r="J87" s="44"/>
      <c r="K87" s="46"/>
      <c r="L87" s="46"/>
      <c r="M87" s="60" t="n">
        <v>1</v>
      </c>
      <c r="N87" s="61" t="n">
        <v>2</v>
      </c>
      <c r="O87" s="61"/>
      <c r="P87" s="61" t="n">
        <v>0</v>
      </c>
      <c r="Q87" s="61" t="n">
        <v>2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0</v>
      </c>
      <c r="X87" s="61" t="n">
        <v>3</v>
      </c>
      <c r="Y87" s="61" t="n">
        <v>0</v>
      </c>
      <c r="Z87" s="61" t="n">
        <v>0</v>
      </c>
      <c r="AA87" s="61" t="n">
        <v>1</v>
      </c>
      <c r="AB87" s="61" t="n">
        <v>3</v>
      </c>
      <c r="AC87" s="61" t="n">
        <v>0</v>
      </c>
      <c r="AD87" s="62" t="n">
        <v>0</v>
      </c>
      <c r="AE87" s="28" t="n">
        <v>85</v>
      </c>
      <c r="AF87" s="50"/>
    </row>
    <row r="88" customFormat="false" ht="14.15" hidden="false" customHeight="false" outlineLevel="0" collapsed="false">
      <c r="A88" s="58" t="s">
        <v>234</v>
      </c>
      <c r="B88" s="46" t="s">
        <v>235</v>
      </c>
      <c r="C88" s="68" t="s">
        <v>41</v>
      </c>
      <c r="D88" s="69" t="s">
        <v>168</v>
      </c>
      <c r="E88" s="46" t="s">
        <v>57</v>
      </c>
      <c r="F88" s="46" t="n">
        <v>4</v>
      </c>
      <c r="G88" s="46" t="n">
        <v>2</v>
      </c>
      <c r="H88" s="42" t="s">
        <v>58</v>
      </c>
      <c r="I88" s="56" t="str">
        <f aca="false">A88</f>
        <v>A2.030.002</v>
      </c>
      <c r="J88" s="69"/>
      <c r="K88" s="46"/>
      <c r="L88" s="46"/>
      <c r="M88" s="60" t="n">
        <v>1</v>
      </c>
      <c r="N88" s="61" t="n">
        <v>1</v>
      </c>
      <c r="O88" s="61"/>
      <c r="P88" s="61" t="n">
        <v>0</v>
      </c>
      <c r="Q88" s="39" t="n">
        <v>1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3</v>
      </c>
      <c r="Y88" s="61" t="n">
        <v>0</v>
      </c>
      <c r="Z88" s="61" t="n">
        <v>0</v>
      </c>
      <c r="AA88" s="61" t="n">
        <v>2</v>
      </c>
      <c r="AB88" s="61" t="n">
        <v>0</v>
      </c>
      <c r="AC88" s="61" t="n">
        <v>0</v>
      </c>
      <c r="AD88" s="62" t="n">
        <v>0</v>
      </c>
      <c r="AE88" s="28" t="n">
        <v>86</v>
      </c>
      <c r="AF88" s="50"/>
    </row>
    <row r="89" customFormat="false" ht="14.15" hidden="false" customHeight="false" outlineLevel="0" collapsed="false">
      <c r="A89" s="58" t="s">
        <v>236</v>
      </c>
      <c r="B89" s="46" t="s">
        <v>237</v>
      </c>
      <c r="C89" s="68" t="s">
        <v>41</v>
      </c>
      <c r="D89" s="44" t="s">
        <v>168</v>
      </c>
      <c r="E89" s="46" t="s">
        <v>57</v>
      </c>
      <c r="F89" s="46" t="n">
        <v>4</v>
      </c>
      <c r="G89" s="46" t="n">
        <v>2</v>
      </c>
      <c r="H89" s="42" t="s">
        <v>58</v>
      </c>
      <c r="I89" s="56" t="str">
        <f aca="false">A89</f>
        <v>A2.030.014</v>
      </c>
      <c r="J89" s="44"/>
      <c r="K89" s="46"/>
      <c r="L89" s="46"/>
      <c r="M89" s="60" t="n">
        <v>1</v>
      </c>
      <c r="N89" s="61" t="n">
        <v>1</v>
      </c>
      <c r="O89" s="61"/>
      <c r="P89" s="61" t="n">
        <v>0</v>
      </c>
      <c r="Q89" s="39" t="n">
        <v>1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1</v>
      </c>
      <c r="Y89" s="61" t="n">
        <v>0</v>
      </c>
      <c r="Z89" s="61" t="n">
        <v>0</v>
      </c>
      <c r="AA89" s="61" t="n">
        <v>1</v>
      </c>
      <c r="AB89" s="61" t="n">
        <v>0</v>
      </c>
      <c r="AC89" s="61" t="n">
        <v>0</v>
      </c>
      <c r="AD89" s="62" t="n">
        <v>0</v>
      </c>
      <c r="AE89" s="39" t="n">
        <v>87</v>
      </c>
      <c r="AF89" s="50"/>
    </row>
    <row r="90" customFormat="false" ht="14.15" hidden="false" customHeight="false" outlineLevel="0" collapsed="false">
      <c r="A90" s="58" t="s">
        <v>238</v>
      </c>
      <c r="B90" s="46" t="s">
        <v>239</v>
      </c>
      <c r="C90" s="68" t="s">
        <v>41</v>
      </c>
      <c r="D90" s="69" t="s">
        <v>168</v>
      </c>
      <c r="E90" s="46" t="s">
        <v>57</v>
      </c>
      <c r="F90" s="46" t="n">
        <v>4</v>
      </c>
      <c r="G90" s="46" t="n">
        <v>2</v>
      </c>
      <c r="H90" s="42" t="s">
        <v>58</v>
      </c>
      <c r="I90" s="56" t="str">
        <f aca="false">A90</f>
        <v>A2.030.015</v>
      </c>
      <c r="J90" s="69"/>
      <c r="K90" s="46"/>
      <c r="L90" s="46"/>
      <c r="M90" s="60" t="n">
        <v>1</v>
      </c>
      <c r="N90" s="61" t="n">
        <v>1</v>
      </c>
      <c r="O90" s="61"/>
      <c r="P90" s="61" t="n">
        <v>0</v>
      </c>
      <c r="Q90" s="39" t="n">
        <v>1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1</v>
      </c>
      <c r="Y90" s="61" t="n">
        <v>0</v>
      </c>
      <c r="Z90" s="61" t="n">
        <v>0</v>
      </c>
      <c r="AA90" s="61" t="n">
        <v>5</v>
      </c>
      <c r="AB90" s="61" t="n">
        <v>0</v>
      </c>
      <c r="AC90" s="61" t="n">
        <v>0</v>
      </c>
      <c r="AD90" s="62" t="n">
        <v>0</v>
      </c>
      <c r="AE90" s="39" t="n">
        <v>88</v>
      </c>
      <c r="AF90" s="50"/>
    </row>
    <row r="91" customFormat="false" ht="14.15" hidden="false" customHeight="false" outlineLevel="0" collapsed="false">
      <c r="A91" s="58" t="s">
        <v>240</v>
      </c>
      <c r="B91" s="46" t="s">
        <v>241</v>
      </c>
      <c r="C91" s="59" t="s">
        <v>41</v>
      </c>
      <c r="D91" s="44" t="s">
        <v>168</v>
      </c>
      <c r="E91" s="46" t="s">
        <v>57</v>
      </c>
      <c r="F91" s="46" t="n">
        <v>6</v>
      </c>
      <c r="G91" s="46" t="n">
        <v>2</v>
      </c>
      <c r="H91" s="42" t="s">
        <v>58</v>
      </c>
      <c r="I91" s="56" t="str">
        <f aca="false">A91</f>
        <v>A2.030.024</v>
      </c>
      <c r="J91" s="44"/>
      <c r="K91" s="46"/>
      <c r="L91" s="46"/>
      <c r="M91" s="60" t="n">
        <v>1</v>
      </c>
      <c r="N91" s="61" t="n">
        <v>1</v>
      </c>
      <c r="O91" s="61"/>
      <c r="P91" s="61" t="n">
        <v>0</v>
      </c>
      <c r="Q91" s="39" t="n">
        <v>1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1</v>
      </c>
      <c r="Y91" s="61" t="n">
        <v>0</v>
      </c>
      <c r="Z91" s="61" t="n">
        <v>0</v>
      </c>
      <c r="AA91" s="61" t="n">
        <v>1</v>
      </c>
      <c r="AB91" s="61" t="n">
        <v>0</v>
      </c>
      <c r="AC91" s="61" t="n">
        <v>0</v>
      </c>
      <c r="AD91" s="62" t="n">
        <v>0</v>
      </c>
      <c r="AE91" s="39" t="n">
        <v>89</v>
      </c>
      <c r="AF91" s="50"/>
    </row>
    <row r="92" customFormat="false" ht="14.15" hidden="false" customHeight="false" outlineLevel="0" collapsed="false">
      <c r="A92" s="58" t="s">
        <v>242</v>
      </c>
      <c r="B92" s="46" t="s">
        <v>243</v>
      </c>
      <c r="C92" s="59" t="s">
        <v>41</v>
      </c>
      <c r="D92" s="69" t="s">
        <v>168</v>
      </c>
      <c r="E92" s="46" t="s">
        <v>57</v>
      </c>
      <c r="F92" s="46" t="n">
        <v>6</v>
      </c>
      <c r="G92" s="46" t="n">
        <v>2</v>
      </c>
      <c r="H92" s="42" t="s">
        <v>58</v>
      </c>
      <c r="I92" s="56" t="str">
        <f aca="false">A92</f>
        <v>A2.030.043</v>
      </c>
      <c r="J92" s="69"/>
      <c r="K92" s="46"/>
      <c r="L92" s="46"/>
      <c r="M92" s="60" t="n">
        <v>1</v>
      </c>
      <c r="N92" s="61" t="n">
        <v>1</v>
      </c>
      <c r="O92" s="61"/>
      <c r="P92" s="61" t="n">
        <v>0</v>
      </c>
      <c r="Q92" s="39" t="n">
        <v>1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2</v>
      </c>
      <c r="Y92" s="61" t="n">
        <v>0</v>
      </c>
      <c r="Z92" s="61" t="n">
        <v>0</v>
      </c>
      <c r="AA92" s="61" t="n">
        <v>1</v>
      </c>
      <c r="AB92" s="61" t="n">
        <v>0</v>
      </c>
      <c r="AC92" s="61" t="n">
        <v>0</v>
      </c>
      <c r="AD92" s="62" t="n">
        <v>0</v>
      </c>
      <c r="AE92" s="28" t="n">
        <v>90</v>
      </c>
      <c r="AF92" s="50"/>
    </row>
    <row r="93" customFormat="false" ht="14.15" hidden="false" customHeight="false" outlineLevel="0" collapsed="false">
      <c r="A93" s="58" t="s">
        <v>244</v>
      </c>
      <c r="B93" s="46" t="s">
        <v>245</v>
      </c>
      <c r="C93" s="68" t="s">
        <v>41</v>
      </c>
      <c r="D93" s="44" t="s">
        <v>168</v>
      </c>
      <c r="E93" s="46" t="s">
        <v>57</v>
      </c>
      <c r="F93" s="46" t="n">
        <v>4</v>
      </c>
      <c r="G93" s="75" t="n">
        <v>2</v>
      </c>
      <c r="H93" s="42"/>
      <c r="I93" s="56" t="str">
        <f aca="false">A93</f>
        <v>A2.040.001</v>
      </c>
      <c r="J93" s="44"/>
      <c r="K93" s="46"/>
      <c r="L93" s="46"/>
      <c r="M93" s="60" t="n">
        <v>1</v>
      </c>
      <c r="N93" s="61" t="n">
        <v>1</v>
      </c>
      <c r="O93" s="61"/>
      <c r="P93" s="61" t="n">
        <v>0</v>
      </c>
      <c r="Q93" s="39" t="n">
        <v>1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1</v>
      </c>
      <c r="Y93" s="61" t="n">
        <v>0</v>
      </c>
      <c r="Z93" s="61" t="n">
        <v>0</v>
      </c>
      <c r="AA93" s="61" t="n">
        <v>1</v>
      </c>
      <c r="AB93" s="61" t="n">
        <v>0</v>
      </c>
      <c r="AC93" s="61" t="n">
        <v>0</v>
      </c>
      <c r="AD93" s="62" t="n">
        <v>0</v>
      </c>
      <c r="AE93" s="28" t="n">
        <v>91</v>
      </c>
      <c r="AF93" s="50"/>
    </row>
    <row r="94" customFormat="false" ht="14.15" hidden="false" customHeight="false" outlineLevel="0" collapsed="false">
      <c r="A94" s="58" t="s">
        <v>246</v>
      </c>
      <c r="B94" s="46" t="s">
        <v>247</v>
      </c>
      <c r="C94" s="68" t="s">
        <v>41</v>
      </c>
      <c r="D94" s="69" t="s">
        <v>168</v>
      </c>
      <c r="E94" s="46" t="s">
        <v>57</v>
      </c>
      <c r="F94" s="46" t="n">
        <v>4</v>
      </c>
      <c r="G94" s="75" t="n">
        <v>2</v>
      </c>
      <c r="H94" s="42"/>
      <c r="I94" s="56" t="str">
        <f aca="false">A94</f>
        <v>A2.040.002</v>
      </c>
      <c r="J94" s="69"/>
      <c r="K94" s="46"/>
      <c r="L94" s="46"/>
      <c r="M94" s="60" t="n">
        <v>1</v>
      </c>
      <c r="N94" s="61" t="n">
        <v>1</v>
      </c>
      <c r="O94" s="61"/>
      <c r="P94" s="61" t="n">
        <v>0</v>
      </c>
      <c r="Q94" s="39" t="n">
        <v>1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1</v>
      </c>
      <c r="Y94" s="61" t="n">
        <v>0</v>
      </c>
      <c r="Z94" s="61" t="n">
        <v>0</v>
      </c>
      <c r="AA94" s="61" t="n">
        <v>1</v>
      </c>
      <c r="AB94" s="61" t="n">
        <v>0</v>
      </c>
      <c r="AC94" s="61" t="n">
        <v>0</v>
      </c>
      <c r="AD94" s="62" t="n">
        <v>0</v>
      </c>
      <c r="AE94" s="39" t="n">
        <v>92</v>
      </c>
      <c r="AF94" s="50"/>
    </row>
    <row r="95" customFormat="false" ht="14.15" hidden="false" customHeight="false" outlineLevel="0" collapsed="false">
      <c r="A95" s="58" t="s">
        <v>248</v>
      </c>
      <c r="B95" s="46" t="s">
        <v>249</v>
      </c>
      <c r="C95" s="68" t="s">
        <v>41</v>
      </c>
      <c r="D95" s="44" t="s">
        <v>168</v>
      </c>
      <c r="E95" s="46" t="s">
        <v>57</v>
      </c>
      <c r="F95" s="46" t="n">
        <v>4</v>
      </c>
      <c r="G95" s="75" t="n">
        <v>2</v>
      </c>
      <c r="H95" s="42"/>
      <c r="I95" s="56" t="str">
        <f aca="false">A95</f>
        <v>A2.040.003</v>
      </c>
      <c r="J95" s="44"/>
      <c r="K95" s="46"/>
      <c r="L95" s="46"/>
      <c r="M95" s="60" t="n">
        <v>1</v>
      </c>
      <c r="N95" s="61" t="n">
        <v>1</v>
      </c>
      <c r="O95" s="61"/>
      <c r="P95" s="61" t="n">
        <v>0</v>
      </c>
      <c r="Q95" s="39" t="n">
        <v>1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1</v>
      </c>
      <c r="Y95" s="61" t="n">
        <v>0</v>
      </c>
      <c r="Z95" s="61" t="n">
        <v>0</v>
      </c>
      <c r="AA95" s="61" t="n">
        <v>1</v>
      </c>
      <c r="AB95" s="61" t="n">
        <v>0</v>
      </c>
      <c r="AC95" s="61" t="n">
        <v>0</v>
      </c>
      <c r="AD95" s="62" t="n">
        <v>0</v>
      </c>
      <c r="AE95" s="39" t="n">
        <v>93</v>
      </c>
      <c r="AF95" s="50"/>
    </row>
    <row r="96" customFormat="false" ht="14.15" hidden="false" customHeight="false" outlineLevel="0" collapsed="false">
      <c r="A96" s="58" t="s">
        <v>250</v>
      </c>
      <c r="B96" s="46" t="s">
        <v>251</v>
      </c>
      <c r="C96" s="59" t="s">
        <v>41</v>
      </c>
      <c r="D96" s="69" t="s">
        <v>168</v>
      </c>
      <c r="E96" s="46" t="s">
        <v>71</v>
      </c>
      <c r="F96" s="46" t="n">
        <v>2</v>
      </c>
      <c r="G96" s="46" t="n">
        <v>1</v>
      </c>
      <c r="H96" s="46"/>
      <c r="I96" s="45" t="s">
        <v>252</v>
      </c>
      <c r="J96" s="69"/>
      <c r="K96" s="46"/>
      <c r="L96" s="46"/>
      <c r="M96" s="60" t="n">
        <v>1</v>
      </c>
      <c r="N96" s="61" t="n">
        <v>1</v>
      </c>
      <c r="O96" s="61"/>
      <c r="P96" s="61" t="n">
        <v>0</v>
      </c>
      <c r="Q96" s="39" t="n">
        <v>1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1</v>
      </c>
      <c r="Y96" s="61" t="n">
        <v>0</v>
      </c>
      <c r="Z96" s="61" t="n">
        <v>0</v>
      </c>
      <c r="AA96" s="61" t="n">
        <v>1</v>
      </c>
      <c r="AB96" s="61" t="n">
        <v>0</v>
      </c>
      <c r="AC96" s="61" t="n">
        <v>0</v>
      </c>
      <c r="AD96" s="62" t="n">
        <v>0</v>
      </c>
      <c r="AE96" s="39" t="n">
        <v>94</v>
      </c>
      <c r="AF96" s="50"/>
    </row>
    <row r="97" customFormat="false" ht="14.15" hidden="false" customHeight="false" outlineLevel="0" collapsed="false">
      <c r="A97" s="58" t="s">
        <v>253</v>
      </c>
      <c r="B97" s="46" t="s">
        <v>254</v>
      </c>
      <c r="C97" s="59" t="s">
        <v>41</v>
      </c>
      <c r="D97" s="44" t="s">
        <v>168</v>
      </c>
      <c r="E97" s="46" t="s">
        <v>71</v>
      </c>
      <c r="F97" s="46" t="n">
        <v>3</v>
      </c>
      <c r="G97" s="46" t="n">
        <v>1</v>
      </c>
      <c r="H97" s="42" t="s">
        <v>72</v>
      </c>
      <c r="I97" s="56" t="str">
        <f aca="false">A97</f>
        <v>S1.020.104</v>
      </c>
      <c r="J97" s="44"/>
      <c r="K97" s="46"/>
      <c r="L97" s="46"/>
      <c r="M97" s="60" t="n">
        <v>1</v>
      </c>
      <c r="N97" s="61" t="n">
        <v>3</v>
      </c>
      <c r="O97" s="61"/>
      <c r="P97" s="61" t="n">
        <v>0</v>
      </c>
      <c r="Q97" s="61" t="n">
        <v>3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2</v>
      </c>
      <c r="Y97" s="61" t="n">
        <v>0</v>
      </c>
      <c r="Z97" s="61" t="n">
        <v>0</v>
      </c>
      <c r="AA97" s="61" t="n">
        <v>2</v>
      </c>
      <c r="AB97" s="61" t="n">
        <v>0</v>
      </c>
      <c r="AC97" s="61" t="n">
        <v>0</v>
      </c>
      <c r="AD97" s="62" t="n">
        <v>0</v>
      </c>
      <c r="AE97" s="28" t="n">
        <v>95</v>
      </c>
      <c r="AF97" s="50"/>
    </row>
    <row r="98" customFormat="false" ht="14.15" hidden="false" customHeight="false" outlineLevel="0" collapsed="false">
      <c r="A98" s="58" t="s">
        <v>255</v>
      </c>
      <c r="B98" s="46" t="s">
        <v>256</v>
      </c>
      <c r="C98" s="68" t="s">
        <v>41</v>
      </c>
      <c r="D98" s="69" t="s">
        <v>168</v>
      </c>
      <c r="E98" s="46" t="s">
        <v>71</v>
      </c>
      <c r="F98" s="46" t="n">
        <v>2</v>
      </c>
      <c r="G98" s="46" t="n">
        <v>1</v>
      </c>
      <c r="H98" s="42" t="s">
        <v>72</v>
      </c>
      <c r="I98" s="56" t="str">
        <f aca="false">A98</f>
        <v>S1.020.105</v>
      </c>
      <c r="J98" s="69"/>
      <c r="K98" s="46"/>
      <c r="L98" s="46"/>
      <c r="M98" s="60" t="n">
        <v>1</v>
      </c>
      <c r="N98" s="61" t="n">
        <v>1</v>
      </c>
      <c r="O98" s="61"/>
      <c r="P98" s="61" t="n">
        <v>0</v>
      </c>
      <c r="Q98" s="39" t="n">
        <v>1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1</v>
      </c>
      <c r="Y98" s="61" t="n">
        <v>0</v>
      </c>
      <c r="Z98" s="61" t="n">
        <v>0</v>
      </c>
      <c r="AA98" s="61" t="n">
        <v>1</v>
      </c>
      <c r="AB98" s="61" t="n">
        <v>0</v>
      </c>
      <c r="AC98" s="61" t="n">
        <v>0</v>
      </c>
      <c r="AD98" s="62" t="n">
        <v>0</v>
      </c>
      <c r="AE98" s="28" t="n">
        <v>96</v>
      </c>
      <c r="AF98" s="50"/>
    </row>
    <row r="99" customFormat="false" ht="15" hidden="false" customHeight="true" outlineLevel="0" collapsed="false">
      <c r="A99" s="58" t="s">
        <v>257</v>
      </c>
      <c r="B99" s="46" t="s">
        <v>258</v>
      </c>
      <c r="C99" s="68" t="s">
        <v>41</v>
      </c>
      <c r="D99" s="44" t="s">
        <v>168</v>
      </c>
      <c r="E99" s="46" t="s">
        <v>71</v>
      </c>
      <c r="F99" s="46" t="n">
        <v>2</v>
      </c>
      <c r="G99" s="42" t="n">
        <v>1</v>
      </c>
      <c r="H99" s="42" t="s">
        <v>72</v>
      </c>
      <c r="I99" s="56" t="str">
        <f aca="false">A99</f>
        <v>S1.020.106</v>
      </c>
      <c r="J99" s="44"/>
      <c r="K99" s="46"/>
      <c r="L99" s="46"/>
      <c r="M99" s="60" t="n">
        <v>1</v>
      </c>
      <c r="N99" s="61" t="n">
        <v>1</v>
      </c>
      <c r="O99" s="61"/>
      <c r="P99" s="61" t="n">
        <v>0</v>
      </c>
      <c r="Q99" s="39" t="n">
        <v>1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1</v>
      </c>
      <c r="Y99" s="61" t="n">
        <v>0</v>
      </c>
      <c r="Z99" s="61" t="n">
        <v>0</v>
      </c>
      <c r="AA99" s="61" t="n">
        <v>1</v>
      </c>
      <c r="AB99" s="61" t="n">
        <v>0</v>
      </c>
      <c r="AC99" s="61" t="n">
        <v>0</v>
      </c>
      <c r="AD99" s="62" t="n">
        <v>0</v>
      </c>
      <c r="AE99" s="39" t="n">
        <v>97</v>
      </c>
      <c r="AF99" s="50"/>
    </row>
    <row r="100" customFormat="false" ht="15" hidden="false" customHeight="true" outlineLevel="0" collapsed="false">
      <c r="A100" s="58" t="s">
        <v>259</v>
      </c>
      <c r="B100" s="46" t="s">
        <v>260</v>
      </c>
      <c r="C100" s="68" t="s">
        <v>41</v>
      </c>
      <c r="D100" s="69" t="s">
        <v>168</v>
      </c>
      <c r="E100" s="46" t="s">
        <v>71</v>
      </c>
      <c r="F100" s="46" t="n">
        <v>3</v>
      </c>
      <c r="G100" s="67" t="n">
        <v>1</v>
      </c>
      <c r="H100" s="42" t="s">
        <v>72</v>
      </c>
      <c r="I100" s="56" t="str">
        <f aca="false">A100</f>
        <v>S1.020.110</v>
      </c>
      <c r="J100" s="69"/>
      <c r="K100" s="46"/>
      <c r="L100" s="46"/>
      <c r="M100" s="60" t="n">
        <v>1</v>
      </c>
      <c r="N100" s="61" t="n">
        <v>1</v>
      </c>
      <c r="O100" s="61"/>
      <c r="P100" s="61" t="n">
        <v>0</v>
      </c>
      <c r="Q100" s="39" t="n">
        <v>1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1</v>
      </c>
      <c r="Y100" s="61" t="n">
        <v>0</v>
      </c>
      <c r="Z100" s="61" t="n">
        <v>0</v>
      </c>
      <c r="AA100" s="61" t="n">
        <v>1</v>
      </c>
      <c r="AB100" s="61" t="n">
        <v>0</v>
      </c>
      <c r="AC100" s="61" t="n">
        <v>0</v>
      </c>
      <c r="AD100" s="62" t="n">
        <v>0</v>
      </c>
      <c r="AE100" s="39" t="n">
        <v>98</v>
      </c>
      <c r="AF100" s="50"/>
    </row>
    <row r="101" customFormat="false" ht="15" hidden="false" customHeight="true" outlineLevel="0" collapsed="false">
      <c r="A101" s="58" t="s">
        <v>261</v>
      </c>
      <c r="B101" s="46" t="s">
        <v>262</v>
      </c>
      <c r="C101" s="59" t="s">
        <v>41</v>
      </c>
      <c r="D101" s="44" t="s">
        <v>168</v>
      </c>
      <c r="E101" s="46" t="s">
        <v>71</v>
      </c>
      <c r="F101" s="46" t="n">
        <v>3</v>
      </c>
      <c r="G101" s="46" t="n">
        <v>1</v>
      </c>
      <c r="H101" s="42" t="s">
        <v>72</v>
      </c>
      <c r="I101" s="56" t="str">
        <f aca="false">A101</f>
        <v>S1.020.111</v>
      </c>
      <c r="J101" s="44"/>
      <c r="K101" s="46"/>
      <c r="L101" s="46"/>
      <c r="M101" s="60" t="n">
        <v>1</v>
      </c>
      <c r="N101" s="61" t="n">
        <v>2</v>
      </c>
      <c r="O101" s="61"/>
      <c r="P101" s="61" t="n">
        <v>0</v>
      </c>
      <c r="Q101" s="61" t="n">
        <v>2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1</v>
      </c>
      <c r="Y101" s="61" t="n">
        <v>0</v>
      </c>
      <c r="Z101" s="61" t="n">
        <v>0</v>
      </c>
      <c r="AA101" s="61" t="n">
        <v>1</v>
      </c>
      <c r="AB101" s="61" t="n">
        <v>0</v>
      </c>
      <c r="AC101" s="61" t="n">
        <v>0</v>
      </c>
      <c r="AD101" s="62" t="n">
        <v>0</v>
      </c>
      <c r="AE101" s="39" t="n">
        <v>99</v>
      </c>
      <c r="AF101" s="50"/>
    </row>
    <row r="102" customFormat="false" ht="15" hidden="false" customHeight="true" outlineLevel="0" collapsed="false">
      <c r="A102" s="58" t="s">
        <v>263</v>
      </c>
      <c r="B102" s="46" t="s">
        <v>264</v>
      </c>
      <c r="C102" s="59" t="s">
        <v>41</v>
      </c>
      <c r="D102" s="69" t="s">
        <v>168</v>
      </c>
      <c r="E102" s="46" t="s">
        <v>71</v>
      </c>
      <c r="F102" s="46" t="n">
        <v>2</v>
      </c>
      <c r="G102" s="46" t="n">
        <v>1</v>
      </c>
      <c r="H102" s="42" t="s">
        <v>72</v>
      </c>
      <c r="I102" s="56" t="str">
        <f aca="false">A102</f>
        <v>S1.020.115</v>
      </c>
      <c r="J102" s="69"/>
      <c r="K102" s="46"/>
      <c r="L102" s="46"/>
      <c r="M102" s="60" t="n">
        <v>1</v>
      </c>
      <c r="N102" s="61" t="n">
        <v>1</v>
      </c>
      <c r="O102" s="61"/>
      <c r="P102" s="61" t="n">
        <v>0</v>
      </c>
      <c r="Q102" s="39" t="n">
        <v>1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1</v>
      </c>
      <c r="Y102" s="61" t="n">
        <v>0</v>
      </c>
      <c r="Z102" s="61" t="n">
        <v>0</v>
      </c>
      <c r="AA102" s="61" t="n">
        <v>1</v>
      </c>
      <c r="AB102" s="61" t="n">
        <v>0</v>
      </c>
      <c r="AC102" s="61" t="n">
        <v>0</v>
      </c>
      <c r="AD102" s="62" t="n">
        <v>0</v>
      </c>
      <c r="AE102" s="28" t="n">
        <v>100</v>
      </c>
      <c r="AF102" s="50"/>
    </row>
    <row r="103" customFormat="false" ht="15" hidden="false" customHeight="true" outlineLevel="0" collapsed="false">
      <c r="A103" s="58" t="s">
        <v>265</v>
      </c>
      <c r="B103" s="46" t="s">
        <v>266</v>
      </c>
      <c r="C103" s="68" t="s">
        <v>41</v>
      </c>
      <c r="D103" s="44" t="s">
        <v>168</v>
      </c>
      <c r="E103" s="46" t="s">
        <v>71</v>
      </c>
      <c r="F103" s="46" t="n">
        <v>2</v>
      </c>
      <c r="G103" s="46" t="n">
        <v>1</v>
      </c>
      <c r="H103" s="42" t="s">
        <v>72</v>
      </c>
      <c r="I103" s="56" t="str">
        <f aca="false">A103</f>
        <v>S1.020.119</v>
      </c>
      <c r="J103" s="44"/>
      <c r="K103" s="46"/>
      <c r="L103" s="46"/>
      <c r="M103" s="60" t="n">
        <v>1</v>
      </c>
      <c r="N103" s="61" t="n">
        <v>1</v>
      </c>
      <c r="O103" s="61"/>
      <c r="P103" s="61" t="n">
        <v>0</v>
      </c>
      <c r="Q103" s="39" t="n">
        <v>1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1</v>
      </c>
      <c r="Y103" s="61" t="n">
        <v>0</v>
      </c>
      <c r="Z103" s="61" t="n">
        <v>0</v>
      </c>
      <c r="AA103" s="61" t="n">
        <v>1</v>
      </c>
      <c r="AB103" s="61" t="n">
        <v>0</v>
      </c>
      <c r="AC103" s="61" t="n">
        <v>0</v>
      </c>
      <c r="AD103" s="62" t="n">
        <v>0</v>
      </c>
      <c r="AE103" s="28" t="n">
        <v>101</v>
      </c>
      <c r="AF103" s="50"/>
    </row>
    <row r="104" customFormat="false" ht="15" hidden="false" customHeight="true" outlineLevel="0" collapsed="false">
      <c r="A104" s="58" t="s">
        <v>267</v>
      </c>
      <c r="B104" s="46" t="s">
        <v>268</v>
      </c>
      <c r="C104" s="68" t="s">
        <v>41</v>
      </c>
      <c r="D104" s="69" t="s">
        <v>168</v>
      </c>
      <c r="E104" s="46" t="s">
        <v>71</v>
      </c>
      <c r="F104" s="46" t="n">
        <v>1</v>
      </c>
      <c r="G104" s="46" t="n">
        <v>1</v>
      </c>
      <c r="H104" s="46" t="s">
        <v>72</v>
      </c>
      <c r="I104" s="56" t="str">
        <f aca="false">A104</f>
        <v>S1.020.134</v>
      </c>
      <c r="J104" s="69"/>
      <c r="K104" s="46"/>
      <c r="L104" s="46"/>
      <c r="M104" s="60" t="n">
        <v>1</v>
      </c>
      <c r="N104" s="61" t="n">
        <v>1</v>
      </c>
      <c r="O104" s="61"/>
      <c r="P104" s="61" t="n">
        <v>0</v>
      </c>
      <c r="Q104" s="39" t="n">
        <v>1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1</v>
      </c>
      <c r="Y104" s="61" t="n">
        <v>0</v>
      </c>
      <c r="Z104" s="61" t="n">
        <v>0</v>
      </c>
      <c r="AA104" s="61" t="n">
        <v>1</v>
      </c>
      <c r="AB104" s="61" t="n">
        <v>0</v>
      </c>
      <c r="AC104" s="61" t="n">
        <v>0</v>
      </c>
      <c r="AD104" s="62" t="n">
        <v>0</v>
      </c>
      <c r="AE104" s="39" t="n">
        <v>102</v>
      </c>
      <c r="AF104" s="50"/>
    </row>
    <row r="105" customFormat="false" ht="15" hidden="false" customHeight="true" outlineLevel="0" collapsed="false">
      <c r="A105" s="58" t="s">
        <v>269</v>
      </c>
      <c r="B105" s="46" t="s">
        <v>270</v>
      </c>
      <c r="C105" s="68" t="s">
        <v>41</v>
      </c>
      <c r="D105" s="44" t="s">
        <v>168</v>
      </c>
      <c r="E105" s="46" t="s">
        <v>71</v>
      </c>
      <c r="F105" s="46" t="n">
        <v>1</v>
      </c>
      <c r="G105" s="46" t="n">
        <v>1</v>
      </c>
      <c r="H105" s="46"/>
      <c r="I105" s="45" t="s">
        <v>271</v>
      </c>
      <c r="J105" s="44"/>
      <c r="K105" s="46"/>
      <c r="L105" s="46"/>
      <c r="M105" s="60" t="n">
        <v>1</v>
      </c>
      <c r="N105" s="61" t="n">
        <v>1</v>
      </c>
      <c r="O105" s="61"/>
      <c r="P105" s="61" t="n">
        <v>0</v>
      </c>
      <c r="Q105" s="39" t="n">
        <v>1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1</v>
      </c>
      <c r="Y105" s="61" t="n">
        <v>0</v>
      </c>
      <c r="Z105" s="61" t="n">
        <v>0</v>
      </c>
      <c r="AA105" s="61" t="n">
        <v>1</v>
      </c>
      <c r="AB105" s="61" t="n">
        <v>0</v>
      </c>
      <c r="AC105" s="61" t="n">
        <v>0</v>
      </c>
      <c r="AD105" s="62" t="n">
        <v>0</v>
      </c>
      <c r="AE105" s="39" t="n">
        <v>103</v>
      </c>
      <c r="AF105" s="50"/>
    </row>
    <row r="106" customFormat="false" ht="15" hidden="false" customHeight="true" outlineLevel="0" collapsed="false">
      <c r="A106" s="58" t="s">
        <v>271</v>
      </c>
      <c r="B106" s="46" t="s">
        <v>272</v>
      </c>
      <c r="C106" s="59" t="s">
        <v>41</v>
      </c>
      <c r="D106" s="69" t="s">
        <v>168</v>
      </c>
      <c r="E106" s="46" t="s">
        <v>71</v>
      </c>
      <c r="F106" s="46" t="n">
        <v>1</v>
      </c>
      <c r="G106" s="46" t="n">
        <v>1</v>
      </c>
      <c r="H106" s="46" t="s">
        <v>72</v>
      </c>
      <c r="I106" s="56" t="str">
        <f aca="false">A106</f>
        <v>S1.020.137</v>
      </c>
      <c r="J106" s="69"/>
      <c r="K106" s="46"/>
      <c r="L106" s="46"/>
      <c r="M106" s="60" t="n">
        <v>1</v>
      </c>
      <c r="N106" s="61" t="n">
        <v>3</v>
      </c>
      <c r="O106" s="61"/>
      <c r="P106" s="61" t="n">
        <v>0</v>
      </c>
      <c r="Q106" s="61" t="n">
        <v>3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3</v>
      </c>
      <c r="Y106" s="61" t="n">
        <v>0</v>
      </c>
      <c r="Z106" s="61" t="n">
        <v>0</v>
      </c>
      <c r="AA106" s="61" t="n">
        <v>3</v>
      </c>
      <c r="AB106" s="61" t="n">
        <v>0</v>
      </c>
      <c r="AC106" s="61" t="n">
        <v>0</v>
      </c>
      <c r="AD106" s="62" t="n">
        <v>0</v>
      </c>
      <c r="AE106" s="39" t="n">
        <v>104</v>
      </c>
      <c r="AF106" s="50"/>
    </row>
    <row r="107" customFormat="false" ht="15" hidden="false" customHeight="true" outlineLevel="0" collapsed="false">
      <c r="A107" s="58" t="s">
        <v>273</v>
      </c>
      <c r="B107" s="46" t="s">
        <v>274</v>
      </c>
      <c r="C107" s="59" t="s">
        <v>41</v>
      </c>
      <c r="D107" s="44" t="s">
        <v>168</v>
      </c>
      <c r="E107" s="46" t="s">
        <v>71</v>
      </c>
      <c r="F107" s="46" t="n">
        <v>1</v>
      </c>
      <c r="G107" s="46" t="n">
        <v>1</v>
      </c>
      <c r="H107" s="46"/>
      <c r="I107" s="45" t="s">
        <v>271</v>
      </c>
      <c r="J107" s="44"/>
      <c r="K107" s="46"/>
      <c r="L107" s="46"/>
      <c r="M107" s="60" t="n">
        <v>1</v>
      </c>
      <c r="N107" s="61" t="n">
        <v>1</v>
      </c>
      <c r="O107" s="61"/>
      <c r="P107" s="61" t="n">
        <v>0</v>
      </c>
      <c r="Q107" s="39" t="n">
        <v>1</v>
      </c>
      <c r="R107" s="61" t="n">
        <v>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1</v>
      </c>
      <c r="Y107" s="61" t="n">
        <v>0</v>
      </c>
      <c r="Z107" s="61" t="n">
        <v>0</v>
      </c>
      <c r="AA107" s="61" t="n">
        <v>1</v>
      </c>
      <c r="AB107" s="61" t="n">
        <v>0</v>
      </c>
      <c r="AC107" s="61" t="n">
        <v>0</v>
      </c>
      <c r="AD107" s="62" t="n">
        <v>0</v>
      </c>
      <c r="AE107" s="28" t="n">
        <v>105</v>
      </c>
      <c r="AF107" s="50"/>
    </row>
    <row r="108" customFormat="false" ht="15" hidden="false" customHeight="true" outlineLevel="0" collapsed="false">
      <c r="A108" s="58" t="s">
        <v>275</v>
      </c>
      <c r="B108" s="46" t="s">
        <v>276</v>
      </c>
      <c r="C108" s="68" t="s">
        <v>41</v>
      </c>
      <c r="D108" s="69" t="s">
        <v>168</v>
      </c>
      <c r="E108" s="46" t="s">
        <v>71</v>
      </c>
      <c r="F108" s="46" t="n">
        <v>1</v>
      </c>
      <c r="G108" s="46" t="n">
        <v>1</v>
      </c>
      <c r="H108" s="46"/>
      <c r="I108" s="45" t="s">
        <v>271</v>
      </c>
      <c r="J108" s="69"/>
      <c r="K108" s="46"/>
      <c r="L108" s="46"/>
      <c r="M108" s="60" t="n">
        <v>1</v>
      </c>
      <c r="N108" s="61" t="n">
        <v>1</v>
      </c>
      <c r="O108" s="61"/>
      <c r="P108" s="61" t="n">
        <v>0</v>
      </c>
      <c r="Q108" s="39" t="n">
        <v>1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1</v>
      </c>
      <c r="Y108" s="61" t="n">
        <v>0</v>
      </c>
      <c r="Z108" s="61" t="n">
        <v>0</v>
      </c>
      <c r="AA108" s="61" t="n">
        <v>1</v>
      </c>
      <c r="AB108" s="61" t="n">
        <v>0</v>
      </c>
      <c r="AC108" s="61" t="n">
        <v>0</v>
      </c>
      <c r="AD108" s="62" t="n">
        <v>0</v>
      </c>
      <c r="AE108" s="28" t="n">
        <v>106</v>
      </c>
      <c r="AF108" s="50"/>
    </row>
    <row r="109" customFormat="false" ht="15" hidden="false" customHeight="true" outlineLevel="0" collapsed="false">
      <c r="A109" s="58"/>
      <c r="B109" s="46"/>
      <c r="C109" s="68"/>
      <c r="D109" s="44"/>
      <c r="E109" s="46"/>
      <c r="F109" s="46"/>
      <c r="G109" s="46"/>
      <c r="H109" s="46"/>
      <c r="I109" s="56"/>
      <c r="J109" s="44"/>
      <c r="K109" s="46"/>
      <c r="L109" s="46"/>
      <c r="M109" s="60"/>
      <c r="N109" s="61"/>
      <c r="O109" s="61"/>
      <c r="P109" s="61"/>
      <c r="Q109" s="39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2"/>
      <c r="AE109" s="39"/>
      <c r="AF109" s="50"/>
    </row>
    <row r="110" customFormat="false" ht="15" hidden="false" customHeight="true" outlineLevel="0" collapsed="false">
      <c r="A110" s="58"/>
      <c r="B110" s="46"/>
      <c r="C110" s="68"/>
      <c r="D110" s="69"/>
      <c r="E110" s="46"/>
      <c r="F110" s="46"/>
      <c r="G110" s="46"/>
      <c r="H110" s="46"/>
      <c r="I110" s="56"/>
      <c r="J110" s="69"/>
      <c r="K110" s="46"/>
      <c r="L110" s="46"/>
      <c r="M110" s="60"/>
      <c r="N110" s="61"/>
      <c r="O110" s="61"/>
      <c r="P110" s="61"/>
      <c r="Q110" s="39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2"/>
      <c r="AE110" s="39"/>
      <c r="AF110" s="50"/>
    </row>
    <row r="111" customFormat="false" ht="15" hidden="false" customHeight="true" outlineLevel="0" collapsed="false">
      <c r="A111" s="58"/>
      <c r="B111" s="46"/>
      <c r="C111" s="59"/>
      <c r="D111" s="44"/>
      <c r="E111" s="46"/>
      <c r="F111" s="46"/>
      <c r="G111" s="46"/>
      <c r="H111" s="46"/>
      <c r="I111" s="56"/>
      <c r="J111" s="44"/>
      <c r="K111" s="46"/>
      <c r="L111" s="46"/>
      <c r="M111" s="60"/>
      <c r="N111" s="61"/>
      <c r="O111" s="61"/>
      <c r="P111" s="61"/>
      <c r="Q111" s="39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2"/>
      <c r="AE111" s="39"/>
      <c r="AF111" s="50"/>
    </row>
    <row r="112" customFormat="false" ht="15" hidden="false" customHeight="true" outlineLevel="0" collapsed="false">
      <c r="A112" s="58"/>
      <c r="B112" s="46"/>
      <c r="C112" s="59"/>
      <c r="D112" s="69"/>
      <c r="E112" s="46"/>
      <c r="F112" s="46"/>
      <c r="G112" s="46"/>
      <c r="H112" s="46"/>
      <c r="I112" s="45"/>
      <c r="J112" s="69"/>
      <c r="K112" s="46"/>
      <c r="L112" s="46"/>
      <c r="M112" s="60"/>
      <c r="N112" s="61"/>
      <c r="O112" s="61"/>
      <c r="P112" s="61"/>
      <c r="Q112" s="39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2"/>
      <c r="AE112" s="28"/>
      <c r="AF112" s="50"/>
    </row>
    <row r="113" customFormat="false" ht="15" hidden="false" customHeight="true" outlineLevel="0" collapsed="false">
      <c r="A113" s="58"/>
      <c r="B113" s="46"/>
      <c r="C113" s="68"/>
      <c r="D113" s="44"/>
      <c r="E113" s="46"/>
      <c r="F113" s="46"/>
      <c r="G113" s="42"/>
      <c r="H113" s="46"/>
      <c r="I113" s="56"/>
      <c r="J113" s="44"/>
      <c r="K113" s="46"/>
      <c r="L113" s="46"/>
      <c r="M113" s="60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2"/>
      <c r="AE113" s="28"/>
      <c r="AF113" s="50"/>
    </row>
    <row r="114" customFormat="false" ht="15" hidden="false" customHeight="true" outlineLevel="0" collapsed="false">
      <c r="A114" s="58"/>
      <c r="B114" s="46"/>
      <c r="C114" s="68"/>
      <c r="D114" s="69"/>
      <c r="E114" s="46"/>
      <c r="F114" s="46"/>
      <c r="G114" s="67"/>
      <c r="H114" s="46"/>
      <c r="I114" s="56"/>
      <c r="J114" s="69"/>
      <c r="K114" s="46"/>
      <c r="L114" s="46"/>
      <c r="M114" s="60"/>
      <c r="N114" s="61"/>
      <c r="O114" s="61"/>
      <c r="P114" s="61"/>
      <c r="Q114" s="39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2"/>
      <c r="AE114" s="39"/>
      <c r="AF114" s="50"/>
    </row>
    <row r="115" customFormat="false" ht="15" hidden="false" customHeight="true" outlineLevel="0" collapsed="false">
      <c r="A115" s="58"/>
      <c r="B115" s="46"/>
      <c r="C115" s="68"/>
      <c r="D115" s="44"/>
      <c r="E115" s="46"/>
      <c r="F115" s="46"/>
      <c r="G115" s="46"/>
      <c r="H115" s="46"/>
      <c r="I115" s="56"/>
      <c r="J115" s="44"/>
      <c r="K115" s="46"/>
      <c r="L115" s="46"/>
      <c r="M115" s="60"/>
      <c r="N115" s="61"/>
      <c r="O115" s="61"/>
      <c r="P115" s="61"/>
      <c r="Q115" s="39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2"/>
      <c r="AE115" s="39"/>
      <c r="AF115" s="50"/>
    </row>
    <row r="116" customFormat="false" ht="15" hidden="false" customHeight="true" outlineLevel="0" collapsed="false">
      <c r="A116" s="58" t="s">
        <v>277</v>
      </c>
      <c r="B116" s="46" t="s">
        <v>278</v>
      </c>
      <c r="C116" s="59" t="s">
        <v>41</v>
      </c>
      <c r="D116" s="69" t="s">
        <v>168</v>
      </c>
      <c r="E116" s="46" t="s">
        <v>83</v>
      </c>
      <c r="F116" s="46" t="n">
        <v>3</v>
      </c>
      <c r="G116" s="46" t="n">
        <v>1</v>
      </c>
      <c r="H116" s="46" t="s">
        <v>84</v>
      </c>
      <c r="I116" s="56" t="str">
        <f aca="false">A116</f>
        <v>S2.020.210</v>
      </c>
      <c r="J116" s="69"/>
      <c r="K116" s="46"/>
      <c r="L116" s="46"/>
      <c r="M116" s="60" t="n">
        <v>1</v>
      </c>
      <c r="N116" s="61" t="n">
        <v>1</v>
      </c>
      <c r="O116" s="61"/>
      <c r="P116" s="61" t="n">
        <v>0</v>
      </c>
      <c r="Q116" s="39" t="n">
        <v>1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1</v>
      </c>
      <c r="Y116" s="61" t="n">
        <v>0</v>
      </c>
      <c r="Z116" s="61" t="n">
        <v>0</v>
      </c>
      <c r="AA116" s="61" t="n">
        <v>1</v>
      </c>
      <c r="AB116" s="61" t="n">
        <v>0</v>
      </c>
      <c r="AC116" s="61" t="n">
        <v>0</v>
      </c>
      <c r="AD116" s="62" t="n">
        <v>0</v>
      </c>
      <c r="AE116" s="39" t="n">
        <v>114</v>
      </c>
      <c r="AF116" s="50"/>
    </row>
    <row r="117" customFormat="false" ht="15" hidden="false" customHeight="true" outlineLevel="0" collapsed="false">
      <c r="A117" s="58" t="s">
        <v>279</v>
      </c>
      <c r="B117" s="46" t="s">
        <v>280</v>
      </c>
      <c r="C117" s="59" t="s">
        <v>41</v>
      </c>
      <c r="D117" s="44" t="s">
        <v>168</v>
      </c>
      <c r="E117" s="46" t="s">
        <v>83</v>
      </c>
      <c r="F117" s="46" t="n">
        <v>3</v>
      </c>
      <c r="G117" s="46" t="n">
        <v>1</v>
      </c>
      <c r="H117" s="46" t="s">
        <v>84</v>
      </c>
      <c r="I117" s="56" t="str">
        <f aca="false">A117</f>
        <v>S2.020.211</v>
      </c>
      <c r="J117" s="44"/>
      <c r="K117" s="46"/>
      <c r="L117" s="46"/>
      <c r="M117" s="60" t="n">
        <v>1</v>
      </c>
      <c r="N117" s="61" t="n">
        <v>2</v>
      </c>
      <c r="O117" s="61"/>
      <c r="P117" s="61" t="n">
        <v>0</v>
      </c>
      <c r="Q117" s="61" t="n">
        <v>2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1</v>
      </c>
      <c r="Y117" s="61" t="n">
        <v>0</v>
      </c>
      <c r="Z117" s="61" t="n">
        <v>0</v>
      </c>
      <c r="AA117" s="61" t="n">
        <v>1</v>
      </c>
      <c r="AB117" s="61" t="n">
        <v>0</v>
      </c>
      <c r="AC117" s="61" t="n">
        <v>0</v>
      </c>
      <c r="AD117" s="62" t="n">
        <v>0</v>
      </c>
      <c r="AE117" s="28" t="n">
        <v>115</v>
      </c>
      <c r="AF117" s="50"/>
    </row>
    <row r="118" customFormat="false" ht="15" hidden="false" customHeight="true" outlineLevel="0" collapsed="false">
      <c r="A118" s="58" t="s">
        <v>281</v>
      </c>
      <c r="B118" s="46" t="s">
        <v>282</v>
      </c>
      <c r="C118" s="68" t="s">
        <v>41</v>
      </c>
      <c r="D118" s="69" t="s">
        <v>168</v>
      </c>
      <c r="E118" s="46" t="s">
        <v>83</v>
      </c>
      <c r="F118" s="46" t="n">
        <v>2</v>
      </c>
      <c r="G118" s="46" t="n">
        <v>1</v>
      </c>
      <c r="H118" s="46" t="s">
        <v>84</v>
      </c>
      <c r="I118" s="56" t="str">
        <f aca="false">A118</f>
        <v>S2.020.215</v>
      </c>
      <c r="J118" s="69"/>
      <c r="K118" s="46"/>
      <c r="L118" s="46"/>
      <c r="M118" s="60" t="n">
        <v>1</v>
      </c>
      <c r="N118" s="61" t="n">
        <v>1</v>
      </c>
      <c r="O118" s="61"/>
      <c r="P118" s="61" t="n">
        <v>0</v>
      </c>
      <c r="Q118" s="39" t="n">
        <v>1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1</v>
      </c>
      <c r="Y118" s="61" t="n">
        <v>0</v>
      </c>
      <c r="Z118" s="61" t="n">
        <v>0</v>
      </c>
      <c r="AA118" s="61" t="n">
        <v>1</v>
      </c>
      <c r="AB118" s="61" t="n">
        <v>0</v>
      </c>
      <c r="AC118" s="61" t="n">
        <v>0</v>
      </c>
      <c r="AD118" s="62" t="n">
        <v>0</v>
      </c>
      <c r="AE118" s="28" t="n">
        <v>116</v>
      </c>
      <c r="AF118" s="50"/>
    </row>
    <row r="119" customFormat="false" ht="15" hidden="false" customHeight="true" outlineLevel="0" collapsed="false">
      <c r="A119" s="58" t="s">
        <v>283</v>
      </c>
      <c r="B119" s="46" t="s">
        <v>284</v>
      </c>
      <c r="C119" s="68" t="s">
        <v>41</v>
      </c>
      <c r="D119" s="44" t="s">
        <v>168</v>
      </c>
      <c r="E119" s="46" t="s">
        <v>83</v>
      </c>
      <c r="F119" s="46" t="n">
        <v>2</v>
      </c>
      <c r="G119" s="46" t="n">
        <v>1</v>
      </c>
      <c r="H119" s="46" t="s">
        <v>84</v>
      </c>
      <c r="I119" s="56" t="str">
        <f aca="false">A119</f>
        <v>S2.020.219</v>
      </c>
      <c r="J119" s="44"/>
      <c r="K119" s="46"/>
      <c r="L119" s="46"/>
      <c r="M119" s="60" t="n">
        <v>1</v>
      </c>
      <c r="N119" s="61" t="n">
        <v>1</v>
      </c>
      <c r="O119" s="61"/>
      <c r="P119" s="61" t="n">
        <v>0</v>
      </c>
      <c r="Q119" s="39" t="n">
        <v>1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1</v>
      </c>
      <c r="Y119" s="61" t="n">
        <v>0</v>
      </c>
      <c r="Z119" s="61" t="n">
        <v>0</v>
      </c>
      <c r="AA119" s="61" t="n">
        <v>1</v>
      </c>
      <c r="AB119" s="61" t="n">
        <v>0</v>
      </c>
      <c r="AC119" s="61" t="n">
        <v>0</v>
      </c>
      <c r="AD119" s="62" t="n">
        <v>0</v>
      </c>
      <c r="AE119" s="39" t="n">
        <v>117</v>
      </c>
      <c r="AF119" s="50"/>
    </row>
    <row r="120" customFormat="false" ht="15" hidden="false" customHeight="true" outlineLevel="0" collapsed="false">
      <c r="A120" s="58" t="s">
        <v>285</v>
      </c>
      <c r="B120" s="46" t="s">
        <v>286</v>
      </c>
      <c r="C120" s="68" t="s">
        <v>41</v>
      </c>
      <c r="D120" s="69" t="s">
        <v>168</v>
      </c>
      <c r="E120" s="46" t="s">
        <v>83</v>
      </c>
      <c r="F120" s="46" t="n">
        <v>1</v>
      </c>
      <c r="G120" s="46" t="n">
        <v>1</v>
      </c>
      <c r="H120" s="46" t="s">
        <v>84</v>
      </c>
      <c r="I120" s="56" t="str">
        <f aca="false">A120</f>
        <v>S2.020.234</v>
      </c>
      <c r="J120" s="69"/>
      <c r="K120" s="46"/>
      <c r="L120" s="46"/>
      <c r="M120" s="60" t="n">
        <v>1</v>
      </c>
      <c r="N120" s="61" t="n">
        <v>1</v>
      </c>
      <c r="O120" s="61"/>
      <c r="P120" s="61" t="n">
        <v>0</v>
      </c>
      <c r="Q120" s="39" t="n">
        <v>1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0</v>
      </c>
      <c r="W120" s="61" t="n">
        <v>0</v>
      </c>
      <c r="X120" s="61" t="n">
        <v>1</v>
      </c>
      <c r="Y120" s="61" t="n">
        <v>0</v>
      </c>
      <c r="Z120" s="61" t="n">
        <v>0</v>
      </c>
      <c r="AA120" s="61" t="n">
        <v>1</v>
      </c>
      <c r="AB120" s="61" t="n">
        <v>0</v>
      </c>
      <c r="AC120" s="61" t="n">
        <v>0</v>
      </c>
      <c r="AD120" s="62" t="n">
        <v>0</v>
      </c>
      <c r="AE120" s="39" t="n">
        <v>118</v>
      </c>
      <c r="AF120" s="50"/>
    </row>
    <row r="121" customFormat="false" ht="14.15" hidden="false" customHeight="false" outlineLevel="0" collapsed="false">
      <c r="A121" s="58" t="s">
        <v>287</v>
      </c>
      <c r="B121" s="46" t="s">
        <v>288</v>
      </c>
      <c r="C121" s="59" t="s">
        <v>41</v>
      </c>
      <c r="D121" s="44" t="s">
        <v>168</v>
      </c>
      <c r="E121" s="46" t="s">
        <v>83</v>
      </c>
      <c r="F121" s="46" t="n">
        <v>1</v>
      </c>
      <c r="G121" s="46" t="n">
        <v>1</v>
      </c>
      <c r="H121" s="46"/>
      <c r="I121" s="45" t="s">
        <v>289</v>
      </c>
      <c r="J121" s="44"/>
      <c r="K121" s="46"/>
      <c r="L121" s="46"/>
      <c r="M121" s="60" t="n">
        <v>1</v>
      </c>
      <c r="N121" s="61" t="n">
        <v>1</v>
      </c>
      <c r="O121" s="61"/>
      <c r="P121" s="61" t="n">
        <v>0</v>
      </c>
      <c r="Q121" s="39" t="n">
        <v>1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1</v>
      </c>
      <c r="Y121" s="61" t="n">
        <v>0</v>
      </c>
      <c r="Z121" s="61" t="n">
        <v>0</v>
      </c>
      <c r="AA121" s="61" t="n">
        <v>1</v>
      </c>
      <c r="AB121" s="61" t="n">
        <v>0</v>
      </c>
      <c r="AC121" s="61" t="n">
        <v>0</v>
      </c>
      <c r="AD121" s="62" t="n">
        <v>0</v>
      </c>
      <c r="AE121" s="39" t="n">
        <v>119</v>
      </c>
      <c r="AF121" s="50"/>
    </row>
    <row r="122" customFormat="false" ht="14.15" hidden="false" customHeight="false" outlineLevel="0" collapsed="false">
      <c r="A122" s="58" t="s">
        <v>289</v>
      </c>
      <c r="B122" s="46" t="s">
        <v>290</v>
      </c>
      <c r="C122" s="59" t="s">
        <v>41</v>
      </c>
      <c r="D122" s="69" t="s">
        <v>168</v>
      </c>
      <c r="E122" s="46" t="s">
        <v>83</v>
      </c>
      <c r="F122" s="46" t="n">
        <v>1</v>
      </c>
      <c r="G122" s="46" t="n">
        <v>1</v>
      </c>
      <c r="H122" s="46" t="s">
        <v>84</v>
      </c>
      <c r="I122" s="56" t="str">
        <f aca="false">A122</f>
        <v>S2.020.237</v>
      </c>
      <c r="J122" s="69"/>
      <c r="K122" s="46"/>
      <c r="L122" s="46"/>
      <c r="M122" s="60" t="n">
        <v>1</v>
      </c>
      <c r="N122" s="61" t="n">
        <v>3</v>
      </c>
      <c r="O122" s="61"/>
      <c r="P122" s="61" t="n">
        <v>0</v>
      </c>
      <c r="Q122" s="61" t="n">
        <v>3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3</v>
      </c>
      <c r="Y122" s="61" t="n">
        <v>0</v>
      </c>
      <c r="Z122" s="61" t="n">
        <v>0</v>
      </c>
      <c r="AA122" s="61" t="n">
        <v>3</v>
      </c>
      <c r="AB122" s="61" t="n">
        <v>0</v>
      </c>
      <c r="AC122" s="61" t="n">
        <v>0</v>
      </c>
      <c r="AD122" s="62" t="n">
        <v>0</v>
      </c>
      <c r="AE122" s="28" t="n">
        <v>120</v>
      </c>
      <c r="AF122" s="50"/>
    </row>
    <row r="123" customFormat="false" ht="14.15" hidden="false" customHeight="false" outlineLevel="0" collapsed="false">
      <c r="A123" s="58" t="s">
        <v>291</v>
      </c>
      <c r="B123" s="46" t="s">
        <v>292</v>
      </c>
      <c r="C123" s="68" t="s">
        <v>41</v>
      </c>
      <c r="D123" s="44" t="s">
        <v>168</v>
      </c>
      <c r="E123" s="46" t="s">
        <v>83</v>
      </c>
      <c r="F123" s="46" t="n">
        <v>1</v>
      </c>
      <c r="G123" s="46" t="n">
        <v>1</v>
      </c>
      <c r="H123" s="46"/>
      <c r="I123" s="45" t="s">
        <v>289</v>
      </c>
      <c r="J123" s="44"/>
      <c r="K123" s="46"/>
      <c r="L123" s="46"/>
      <c r="M123" s="60" t="n">
        <v>1</v>
      </c>
      <c r="N123" s="61" t="n">
        <v>1</v>
      </c>
      <c r="O123" s="61"/>
      <c r="P123" s="61" t="n">
        <v>0</v>
      </c>
      <c r="Q123" s="39" t="n">
        <v>1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1</v>
      </c>
      <c r="Y123" s="61" t="n">
        <v>0</v>
      </c>
      <c r="Z123" s="61" t="n">
        <v>0</v>
      </c>
      <c r="AA123" s="61" t="n">
        <v>1</v>
      </c>
      <c r="AB123" s="61" t="n">
        <v>0</v>
      </c>
      <c r="AC123" s="61" t="n">
        <v>0</v>
      </c>
      <c r="AD123" s="62" t="n">
        <v>0</v>
      </c>
      <c r="AE123" s="28" t="n">
        <v>121</v>
      </c>
      <c r="AF123" s="50"/>
    </row>
    <row r="124" customFormat="false" ht="14.15" hidden="false" customHeight="false" outlineLevel="0" collapsed="false">
      <c r="A124" s="58" t="s">
        <v>293</v>
      </c>
      <c r="B124" s="46" t="s">
        <v>294</v>
      </c>
      <c r="C124" s="68" t="s">
        <v>41</v>
      </c>
      <c r="D124" s="69" t="s">
        <v>168</v>
      </c>
      <c r="E124" s="46" t="s">
        <v>83</v>
      </c>
      <c r="F124" s="46" t="n">
        <v>1</v>
      </c>
      <c r="G124" s="46" t="n">
        <v>1</v>
      </c>
      <c r="H124" s="46"/>
      <c r="I124" s="45" t="s">
        <v>289</v>
      </c>
      <c r="J124" s="69"/>
      <c r="K124" s="46"/>
      <c r="L124" s="46"/>
      <c r="M124" s="60" t="n">
        <v>1</v>
      </c>
      <c r="N124" s="61" t="n">
        <v>1</v>
      </c>
      <c r="O124" s="61"/>
      <c r="P124" s="61" t="n">
        <v>0</v>
      </c>
      <c r="Q124" s="39" t="n">
        <v>1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1</v>
      </c>
      <c r="Y124" s="61" t="n">
        <v>0</v>
      </c>
      <c r="Z124" s="61" t="n">
        <v>0</v>
      </c>
      <c r="AA124" s="61" t="n">
        <v>1</v>
      </c>
      <c r="AB124" s="61" t="n">
        <v>0</v>
      </c>
      <c r="AC124" s="61" t="n">
        <v>0</v>
      </c>
      <c r="AD124" s="62" t="n">
        <v>0</v>
      </c>
      <c r="AE124" s="39" t="n">
        <v>122</v>
      </c>
      <c r="AF124" s="50"/>
    </row>
    <row r="125" customFormat="false" ht="14.15" hidden="false" customHeight="false" outlineLevel="0" collapsed="false">
      <c r="A125" s="58" t="s">
        <v>295</v>
      </c>
      <c r="B125" s="46" t="s">
        <v>296</v>
      </c>
      <c r="C125" s="68" t="s">
        <v>41</v>
      </c>
      <c r="D125" s="44" t="s">
        <v>168</v>
      </c>
      <c r="E125" s="46" t="s">
        <v>83</v>
      </c>
      <c r="F125" s="46" t="n">
        <v>1</v>
      </c>
      <c r="G125" s="46" t="n">
        <v>1</v>
      </c>
      <c r="H125" s="46" t="s">
        <v>84</v>
      </c>
      <c r="I125" s="56" t="str">
        <f aca="false">A125</f>
        <v>S2.020.241</v>
      </c>
      <c r="J125" s="44"/>
      <c r="K125" s="46"/>
      <c r="L125" s="46"/>
      <c r="M125" s="60" t="n">
        <v>1</v>
      </c>
      <c r="N125" s="61" t="n">
        <v>1</v>
      </c>
      <c r="O125" s="61"/>
      <c r="P125" s="61" t="n">
        <v>0</v>
      </c>
      <c r="Q125" s="39" t="n">
        <v>1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1</v>
      </c>
      <c r="Y125" s="61" t="n">
        <v>0</v>
      </c>
      <c r="Z125" s="61" t="n">
        <v>0</v>
      </c>
      <c r="AA125" s="61" t="n">
        <v>1</v>
      </c>
      <c r="AB125" s="61" t="n">
        <v>0</v>
      </c>
      <c r="AC125" s="61" t="n">
        <v>0</v>
      </c>
      <c r="AD125" s="62" t="n">
        <v>0</v>
      </c>
      <c r="AE125" s="39" t="n">
        <v>123</v>
      </c>
      <c r="AF125" s="50"/>
    </row>
    <row r="126" customFormat="false" ht="15" hidden="false" customHeight="true" outlineLevel="0" collapsed="false">
      <c r="A126" s="58" t="s">
        <v>297</v>
      </c>
      <c r="B126" s="46" t="s">
        <v>298</v>
      </c>
      <c r="C126" s="59" t="s">
        <v>41</v>
      </c>
      <c r="D126" s="69" t="s">
        <v>168</v>
      </c>
      <c r="E126" s="46" t="s">
        <v>83</v>
      </c>
      <c r="F126" s="46" t="n">
        <v>4</v>
      </c>
      <c r="G126" s="46" t="n">
        <v>1</v>
      </c>
      <c r="H126" s="46" t="s">
        <v>84</v>
      </c>
      <c r="I126" s="56" t="str">
        <f aca="false">A126</f>
        <v>S2.030.205</v>
      </c>
      <c r="J126" s="69"/>
      <c r="K126" s="46"/>
      <c r="L126" s="46"/>
      <c r="M126" s="60" t="n">
        <v>1</v>
      </c>
      <c r="N126" s="61" t="n">
        <v>1</v>
      </c>
      <c r="O126" s="61"/>
      <c r="P126" s="61" t="n">
        <v>0</v>
      </c>
      <c r="Q126" s="39" t="n">
        <v>1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1</v>
      </c>
      <c r="Y126" s="61" t="n">
        <v>0</v>
      </c>
      <c r="Z126" s="61" t="n">
        <v>0</v>
      </c>
      <c r="AA126" s="61" t="n">
        <v>3</v>
      </c>
      <c r="AB126" s="61" t="n">
        <v>0</v>
      </c>
      <c r="AC126" s="61" t="n">
        <v>0</v>
      </c>
      <c r="AD126" s="62" t="n">
        <v>0</v>
      </c>
      <c r="AE126" s="39" t="n">
        <v>124</v>
      </c>
      <c r="AF126" s="50"/>
    </row>
    <row r="127" customFormat="false" ht="15" hidden="false" customHeight="true" outlineLevel="0" collapsed="false">
      <c r="A127" s="58" t="s">
        <v>299</v>
      </c>
      <c r="B127" s="46" t="s">
        <v>300</v>
      </c>
      <c r="C127" s="59" t="s">
        <v>41</v>
      </c>
      <c r="D127" s="44" t="s">
        <v>168</v>
      </c>
      <c r="E127" s="46" t="s">
        <v>83</v>
      </c>
      <c r="F127" s="46" t="n">
        <v>4</v>
      </c>
      <c r="G127" s="42" t="n">
        <v>1</v>
      </c>
      <c r="H127" s="46" t="s">
        <v>84</v>
      </c>
      <c r="I127" s="56" t="str">
        <f aca="false">A127</f>
        <v>S2.030.210</v>
      </c>
      <c r="J127" s="44"/>
      <c r="K127" s="46"/>
      <c r="L127" s="46"/>
      <c r="M127" s="60" t="n">
        <v>1</v>
      </c>
      <c r="N127" s="61" t="n">
        <v>1</v>
      </c>
      <c r="O127" s="61"/>
      <c r="P127" s="61" t="n">
        <v>0</v>
      </c>
      <c r="Q127" s="39" t="n">
        <v>1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1</v>
      </c>
      <c r="Y127" s="61" t="n">
        <v>0</v>
      </c>
      <c r="Z127" s="61" t="n">
        <v>0</v>
      </c>
      <c r="AA127" s="61" t="n">
        <v>1</v>
      </c>
      <c r="AB127" s="61" t="n">
        <v>0</v>
      </c>
      <c r="AC127" s="61" t="n">
        <v>0</v>
      </c>
      <c r="AD127" s="62" t="n">
        <v>0</v>
      </c>
      <c r="AE127" s="28" t="n">
        <v>125</v>
      </c>
      <c r="AF127" s="50"/>
    </row>
    <row r="128" customFormat="false" ht="15" hidden="false" customHeight="true" outlineLevel="0" collapsed="false">
      <c r="A128" s="58" t="s">
        <v>301</v>
      </c>
      <c r="B128" s="64" t="s">
        <v>302</v>
      </c>
      <c r="C128" s="68" t="s">
        <v>41</v>
      </c>
      <c r="D128" s="69" t="s">
        <v>168</v>
      </c>
      <c r="E128" s="46" t="s">
        <v>95</v>
      </c>
      <c r="F128" s="46" t="n">
        <v>2</v>
      </c>
      <c r="G128" s="67" t="n">
        <v>1</v>
      </c>
      <c r="H128" s="46" t="s">
        <v>96</v>
      </c>
      <c r="I128" s="45" t="s">
        <v>303</v>
      </c>
      <c r="J128" s="69"/>
      <c r="K128" s="46"/>
      <c r="L128" s="46"/>
      <c r="M128" s="60" t="n">
        <v>1</v>
      </c>
      <c r="N128" s="61" t="n">
        <v>1</v>
      </c>
      <c r="O128" s="61"/>
      <c r="P128" s="61" t="n">
        <v>0</v>
      </c>
      <c r="Q128" s="39" t="n">
        <v>1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1</v>
      </c>
      <c r="Y128" s="61" t="n">
        <v>0</v>
      </c>
      <c r="Z128" s="61" t="n">
        <v>0</v>
      </c>
      <c r="AA128" s="61" t="n">
        <v>1</v>
      </c>
      <c r="AB128" s="61" t="n">
        <v>0</v>
      </c>
      <c r="AC128" s="61" t="n">
        <v>0</v>
      </c>
      <c r="AD128" s="62" t="n">
        <v>0</v>
      </c>
      <c r="AE128" s="28" t="n">
        <v>126</v>
      </c>
      <c r="AF128" s="50"/>
    </row>
    <row r="129" customFormat="false" ht="15" hidden="false" customHeight="true" outlineLevel="0" collapsed="false">
      <c r="A129" s="58" t="s">
        <v>304</v>
      </c>
      <c r="B129" s="64" t="s">
        <v>305</v>
      </c>
      <c r="C129" s="68" t="s">
        <v>41</v>
      </c>
      <c r="D129" s="44" t="s">
        <v>168</v>
      </c>
      <c r="E129" s="46" t="s">
        <v>95</v>
      </c>
      <c r="F129" s="46" t="n">
        <v>3</v>
      </c>
      <c r="G129" s="46" t="n">
        <v>1</v>
      </c>
      <c r="H129" s="46" t="s">
        <v>96</v>
      </c>
      <c r="I129" s="56" t="str">
        <f aca="false">A129</f>
        <v>S3.020.304</v>
      </c>
      <c r="J129" s="44"/>
      <c r="K129" s="46"/>
      <c r="L129" s="46"/>
      <c r="M129" s="60" t="n">
        <v>1</v>
      </c>
      <c r="N129" s="61" t="n">
        <v>3</v>
      </c>
      <c r="O129" s="61"/>
      <c r="P129" s="61" t="n">
        <v>0</v>
      </c>
      <c r="Q129" s="61" t="n">
        <v>3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2</v>
      </c>
      <c r="Y129" s="61" t="n">
        <v>0</v>
      </c>
      <c r="Z129" s="61" t="n">
        <v>0</v>
      </c>
      <c r="AA129" s="61" t="n">
        <v>2</v>
      </c>
      <c r="AB129" s="61" t="n">
        <v>0</v>
      </c>
      <c r="AC129" s="61" t="n">
        <v>0</v>
      </c>
      <c r="AD129" s="62" t="n">
        <v>0</v>
      </c>
      <c r="AE129" s="39" t="n">
        <v>127</v>
      </c>
      <c r="AF129" s="50"/>
    </row>
    <row r="130" customFormat="false" ht="15" hidden="false" customHeight="true" outlineLevel="0" collapsed="false">
      <c r="A130" s="58" t="s">
        <v>306</v>
      </c>
      <c r="B130" s="64" t="s">
        <v>307</v>
      </c>
      <c r="C130" s="68" t="s">
        <v>41</v>
      </c>
      <c r="D130" s="69" t="s">
        <v>168</v>
      </c>
      <c r="E130" s="46" t="s">
        <v>95</v>
      </c>
      <c r="F130" s="46" t="n">
        <v>3</v>
      </c>
      <c r="G130" s="46" t="n">
        <v>1</v>
      </c>
      <c r="H130" s="46" t="s">
        <v>96</v>
      </c>
      <c r="I130" s="56" t="str">
        <f aca="false">A130</f>
        <v>S3.020.305</v>
      </c>
      <c r="J130" s="69"/>
      <c r="K130" s="46"/>
      <c r="L130" s="46"/>
      <c r="M130" s="60" t="n">
        <v>1</v>
      </c>
      <c r="N130" s="61" t="n">
        <v>1</v>
      </c>
      <c r="O130" s="61"/>
      <c r="P130" s="61" t="n">
        <v>0</v>
      </c>
      <c r="Q130" s="39" t="n">
        <v>1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1</v>
      </c>
      <c r="Y130" s="61" t="n">
        <v>0</v>
      </c>
      <c r="Z130" s="61" t="n">
        <v>0</v>
      </c>
      <c r="AA130" s="61" t="n">
        <v>1</v>
      </c>
      <c r="AB130" s="61" t="n">
        <v>0</v>
      </c>
      <c r="AC130" s="61" t="n">
        <v>0</v>
      </c>
      <c r="AD130" s="62" t="n">
        <v>0</v>
      </c>
      <c r="AE130" s="39" t="n">
        <v>128</v>
      </c>
      <c r="AF130" s="50"/>
    </row>
    <row r="131" customFormat="false" ht="15" hidden="false" customHeight="true" outlineLevel="0" collapsed="false">
      <c r="A131" s="58" t="s">
        <v>308</v>
      </c>
      <c r="B131" s="64" t="s">
        <v>309</v>
      </c>
      <c r="C131" s="59" t="s">
        <v>41</v>
      </c>
      <c r="D131" s="44" t="s">
        <v>168</v>
      </c>
      <c r="E131" s="46" t="s">
        <v>95</v>
      </c>
      <c r="F131" s="46" t="n">
        <v>3</v>
      </c>
      <c r="G131" s="46" t="n">
        <v>1</v>
      </c>
      <c r="H131" s="46" t="s">
        <v>96</v>
      </c>
      <c r="I131" s="56" t="str">
        <f aca="false">A131</f>
        <v>S3.020.306</v>
      </c>
      <c r="J131" s="44"/>
      <c r="K131" s="46"/>
      <c r="L131" s="46"/>
      <c r="M131" s="60" t="n">
        <v>1</v>
      </c>
      <c r="N131" s="61" t="n">
        <v>1</v>
      </c>
      <c r="O131" s="61"/>
      <c r="P131" s="61" t="n">
        <v>0</v>
      </c>
      <c r="Q131" s="39" t="n">
        <v>1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1</v>
      </c>
      <c r="Y131" s="61" t="n">
        <v>0</v>
      </c>
      <c r="Z131" s="61" t="n">
        <v>0</v>
      </c>
      <c r="AA131" s="61" t="n">
        <v>1</v>
      </c>
      <c r="AB131" s="61" t="n">
        <v>0</v>
      </c>
      <c r="AC131" s="61" t="n">
        <v>0</v>
      </c>
      <c r="AD131" s="62" t="n">
        <v>0</v>
      </c>
      <c r="AE131" s="39" t="n">
        <v>129</v>
      </c>
      <c r="AF131" s="50"/>
    </row>
    <row r="132" customFormat="false" ht="15" hidden="false" customHeight="true" outlineLevel="0" collapsed="false">
      <c r="A132" s="58" t="s">
        <v>310</v>
      </c>
      <c r="B132" s="64" t="s">
        <v>311</v>
      </c>
      <c r="C132" s="59" t="s">
        <v>41</v>
      </c>
      <c r="D132" s="69" t="s">
        <v>168</v>
      </c>
      <c r="E132" s="46" t="s">
        <v>95</v>
      </c>
      <c r="F132" s="46" t="n">
        <v>3</v>
      </c>
      <c r="G132" s="46" t="n">
        <v>1</v>
      </c>
      <c r="H132" s="46" t="s">
        <v>96</v>
      </c>
      <c r="I132" s="56" t="str">
        <f aca="false">A132</f>
        <v>S3.020.310</v>
      </c>
      <c r="J132" s="69"/>
      <c r="K132" s="46"/>
      <c r="L132" s="46"/>
      <c r="M132" s="60" t="n">
        <v>1</v>
      </c>
      <c r="N132" s="61" t="n">
        <v>1</v>
      </c>
      <c r="O132" s="61"/>
      <c r="P132" s="61" t="n">
        <v>0</v>
      </c>
      <c r="Q132" s="39" t="n">
        <v>1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1</v>
      </c>
      <c r="Y132" s="61" t="n">
        <v>0</v>
      </c>
      <c r="Z132" s="61" t="n">
        <v>0</v>
      </c>
      <c r="AA132" s="61" t="n">
        <v>1</v>
      </c>
      <c r="AB132" s="61" t="n">
        <v>0</v>
      </c>
      <c r="AC132" s="61" t="n">
        <v>0</v>
      </c>
      <c r="AD132" s="62" t="n">
        <v>0</v>
      </c>
      <c r="AE132" s="28" t="n">
        <v>130</v>
      </c>
      <c r="AF132" s="50"/>
    </row>
    <row r="133" customFormat="false" ht="15" hidden="false" customHeight="true" outlineLevel="0" collapsed="false">
      <c r="A133" s="58" t="s">
        <v>312</v>
      </c>
      <c r="B133" s="64" t="s">
        <v>313</v>
      </c>
      <c r="C133" s="68" t="s">
        <v>41</v>
      </c>
      <c r="D133" s="44" t="s">
        <v>168</v>
      </c>
      <c r="E133" s="46" t="s">
        <v>95</v>
      </c>
      <c r="F133" s="46" t="n">
        <v>3</v>
      </c>
      <c r="G133" s="46" t="n">
        <v>1</v>
      </c>
      <c r="H133" s="46" t="s">
        <v>96</v>
      </c>
      <c r="I133" s="56" t="str">
        <f aca="false">A133</f>
        <v>S3.020.311</v>
      </c>
      <c r="J133" s="44"/>
      <c r="K133" s="46"/>
      <c r="L133" s="46"/>
      <c r="M133" s="60" t="n">
        <v>1</v>
      </c>
      <c r="N133" s="61" t="n">
        <v>2</v>
      </c>
      <c r="O133" s="61"/>
      <c r="P133" s="61" t="n">
        <v>0</v>
      </c>
      <c r="Q133" s="61" t="n">
        <v>2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1</v>
      </c>
      <c r="Y133" s="61" t="n">
        <v>0</v>
      </c>
      <c r="Z133" s="61" t="n">
        <v>0</v>
      </c>
      <c r="AA133" s="61" t="n">
        <v>1</v>
      </c>
      <c r="AB133" s="61" t="n">
        <v>0</v>
      </c>
      <c r="AC133" s="61" t="n">
        <v>0</v>
      </c>
      <c r="AD133" s="62" t="n">
        <v>0</v>
      </c>
      <c r="AE133" s="28" t="n">
        <v>131</v>
      </c>
      <c r="AF133" s="50"/>
    </row>
    <row r="134" customFormat="false" ht="15" hidden="false" customHeight="true" outlineLevel="0" collapsed="false">
      <c r="A134" s="58" t="s">
        <v>314</v>
      </c>
      <c r="B134" s="64" t="s">
        <v>315</v>
      </c>
      <c r="C134" s="68" t="s">
        <v>41</v>
      </c>
      <c r="D134" s="69" t="s">
        <v>168</v>
      </c>
      <c r="E134" s="46" t="s">
        <v>95</v>
      </c>
      <c r="F134" s="46" t="n">
        <v>2</v>
      </c>
      <c r="G134" s="46" t="n">
        <v>1</v>
      </c>
      <c r="H134" s="46" t="s">
        <v>96</v>
      </c>
      <c r="I134" s="56" t="str">
        <f aca="false">A134</f>
        <v>S3.020.315</v>
      </c>
      <c r="J134" s="69"/>
      <c r="K134" s="46"/>
      <c r="L134" s="46"/>
      <c r="M134" s="60" t="n">
        <v>1</v>
      </c>
      <c r="N134" s="61" t="n">
        <v>1</v>
      </c>
      <c r="O134" s="61"/>
      <c r="P134" s="61" t="n">
        <v>0</v>
      </c>
      <c r="Q134" s="39" t="n">
        <v>1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1</v>
      </c>
      <c r="Y134" s="61" t="n">
        <v>0</v>
      </c>
      <c r="Z134" s="61" t="n">
        <v>0</v>
      </c>
      <c r="AA134" s="61" t="n">
        <v>1</v>
      </c>
      <c r="AB134" s="61" t="n">
        <v>0</v>
      </c>
      <c r="AC134" s="61" t="n">
        <v>0</v>
      </c>
      <c r="AD134" s="62" t="n">
        <v>0</v>
      </c>
      <c r="AE134" s="39" t="n">
        <v>132</v>
      </c>
      <c r="AF134" s="50"/>
    </row>
    <row r="135" customFormat="false" ht="15" hidden="false" customHeight="true" outlineLevel="0" collapsed="false">
      <c r="A135" s="58" t="s">
        <v>316</v>
      </c>
      <c r="B135" s="64" t="s">
        <v>317</v>
      </c>
      <c r="C135" s="68" t="s">
        <v>41</v>
      </c>
      <c r="D135" s="44" t="s">
        <v>168</v>
      </c>
      <c r="E135" s="46" t="s">
        <v>95</v>
      </c>
      <c r="F135" s="46" t="n">
        <v>2</v>
      </c>
      <c r="G135" s="46" t="n">
        <v>1</v>
      </c>
      <c r="H135" s="46" t="s">
        <v>96</v>
      </c>
      <c r="I135" s="56" t="str">
        <f aca="false">A135</f>
        <v>S3.020.319</v>
      </c>
      <c r="J135" s="44"/>
      <c r="K135" s="46"/>
      <c r="L135" s="46"/>
      <c r="M135" s="60" t="n">
        <v>1</v>
      </c>
      <c r="N135" s="61" t="n">
        <v>1</v>
      </c>
      <c r="O135" s="61"/>
      <c r="P135" s="61" t="n">
        <v>0</v>
      </c>
      <c r="Q135" s="39" t="n">
        <v>1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1</v>
      </c>
      <c r="Y135" s="61" t="n">
        <v>0</v>
      </c>
      <c r="Z135" s="61" t="n">
        <v>0</v>
      </c>
      <c r="AA135" s="61" t="n">
        <v>1</v>
      </c>
      <c r="AB135" s="61" t="n">
        <v>0</v>
      </c>
      <c r="AC135" s="61" t="n">
        <v>0</v>
      </c>
      <c r="AD135" s="62" t="n">
        <v>0</v>
      </c>
      <c r="AE135" s="39" t="n">
        <v>133</v>
      </c>
      <c r="AF135" s="50"/>
    </row>
    <row r="136" customFormat="false" ht="15" hidden="false" customHeight="true" outlineLevel="0" collapsed="false">
      <c r="A136" s="58" t="s">
        <v>318</v>
      </c>
      <c r="B136" s="64" t="s">
        <v>319</v>
      </c>
      <c r="C136" s="59" t="s">
        <v>41</v>
      </c>
      <c r="D136" s="69" t="s">
        <v>168</v>
      </c>
      <c r="E136" s="46" t="s">
        <v>95</v>
      </c>
      <c r="F136" s="46" t="n">
        <v>1</v>
      </c>
      <c r="G136" s="46" t="n">
        <v>1</v>
      </c>
      <c r="H136" s="46" t="s">
        <v>96</v>
      </c>
      <c r="I136" s="56" t="str">
        <f aca="false">A136</f>
        <v>S3.020.334</v>
      </c>
      <c r="J136" s="69"/>
      <c r="K136" s="46"/>
      <c r="L136" s="46"/>
      <c r="M136" s="60" t="n">
        <v>1</v>
      </c>
      <c r="N136" s="61" t="n">
        <v>1</v>
      </c>
      <c r="O136" s="61"/>
      <c r="P136" s="61" t="n">
        <v>0</v>
      </c>
      <c r="Q136" s="39" t="n">
        <v>1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1</v>
      </c>
      <c r="Y136" s="61" t="n">
        <v>0</v>
      </c>
      <c r="Z136" s="61" t="n">
        <v>0</v>
      </c>
      <c r="AA136" s="61" t="n">
        <v>1</v>
      </c>
      <c r="AB136" s="61" t="n">
        <v>0</v>
      </c>
      <c r="AC136" s="61" t="n">
        <v>0</v>
      </c>
      <c r="AD136" s="62" t="n">
        <v>0</v>
      </c>
      <c r="AE136" s="39" t="n">
        <v>134</v>
      </c>
      <c r="AF136" s="50"/>
    </row>
    <row r="137" customFormat="false" ht="15" hidden="false" customHeight="true" outlineLevel="0" collapsed="false">
      <c r="A137" s="58" t="s">
        <v>320</v>
      </c>
      <c r="B137" s="64" t="s">
        <v>321</v>
      </c>
      <c r="C137" s="59" t="s">
        <v>41</v>
      </c>
      <c r="D137" s="44" t="s">
        <v>168</v>
      </c>
      <c r="E137" s="46" t="s">
        <v>95</v>
      </c>
      <c r="F137" s="46" t="n">
        <v>1</v>
      </c>
      <c r="G137" s="46" t="n">
        <v>1</v>
      </c>
      <c r="H137" s="46"/>
      <c r="I137" s="45" t="s">
        <v>322</v>
      </c>
      <c r="J137" s="44"/>
      <c r="K137" s="46"/>
      <c r="L137" s="46"/>
      <c r="M137" s="60" t="n">
        <v>1</v>
      </c>
      <c r="N137" s="61" t="n">
        <v>1</v>
      </c>
      <c r="O137" s="61"/>
      <c r="P137" s="61" t="n">
        <v>0</v>
      </c>
      <c r="Q137" s="39" t="n">
        <v>1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1</v>
      </c>
      <c r="Y137" s="61" t="n">
        <v>0</v>
      </c>
      <c r="Z137" s="61" t="n">
        <v>0</v>
      </c>
      <c r="AA137" s="61" t="n">
        <v>1</v>
      </c>
      <c r="AB137" s="61" t="n">
        <v>0</v>
      </c>
      <c r="AC137" s="61" t="n">
        <v>0</v>
      </c>
      <c r="AD137" s="62" t="n">
        <v>0</v>
      </c>
      <c r="AE137" s="28" t="n">
        <v>135</v>
      </c>
      <c r="AF137" s="50"/>
    </row>
    <row r="138" customFormat="false" ht="15" hidden="false" customHeight="true" outlineLevel="0" collapsed="false">
      <c r="A138" s="58" t="s">
        <v>322</v>
      </c>
      <c r="B138" s="64" t="s">
        <v>323</v>
      </c>
      <c r="C138" s="68" t="s">
        <v>41</v>
      </c>
      <c r="D138" s="69" t="s">
        <v>168</v>
      </c>
      <c r="E138" s="46" t="s">
        <v>95</v>
      </c>
      <c r="F138" s="46" t="n">
        <v>1</v>
      </c>
      <c r="G138" s="46" t="n">
        <v>1</v>
      </c>
      <c r="H138" s="46" t="s">
        <v>96</v>
      </c>
      <c r="I138" s="56" t="str">
        <f aca="false">A138</f>
        <v>S3.020.337</v>
      </c>
      <c r="J138" s="69"/>
      <c r="K138" s="46"/>
      <c r="L138" s="46"/>
      <c r="M138" s="60" t="n">
        <v>1</v>
      </c>
      <c r="N138" s="61" t="n">
        <v>3</v>
      </c>
      <c r="O138" s="61"/>
      <c r="P138" s="61" t="n">
        <v>0</v>
      </c>
      <c r="Q138" s="61" t="n">
        <v>3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3</v>
      </c>
      <c r="Y138" s="61" t="n">
        <v>0</v>
      </c>
      <c r="Z138" s="61" t="n">
        <v>0</v>
      </c>
      <c r="AA138" s="61" t="n">
        <v>3</v>
      </c>
      <c r="AB138" s="61" t="n">
        <v>0</v>
      </c>
      <c r="AC138" s="61" t="n">
        <v>0</v>
      </c>
      <c r="AD138" s="62" t="n">
        <v>0</v>
      </c>
      <c r="AE138" s="28" t="n">
        <v>136</v>
      </c>
      <c r="AF138" s="50"/>
    </row>
    <row r="139" customFormat="false" ht="15" hidden="false" customHeight="true" outlineLevel="0" collapsed="false">
      <c r="A139" s="58" t="s">
        <v>324</v>
      </c>
      <c r="B139" s="64" t="s">
        <v>325</v>
      </c>
      <c r="C139" s="68" t="s">
        <v>41</v>
      </c>
      <c r="D139" s="44" t="s">
        <v>168</v>
      </c>
      <c r="E139" s="46" t="s">
        <v>95</v>
      </c>
      <c r="F139" s="46" t="n">
        <v>1</v>
      </c>
      <c r="G139" s="46" t="n">
        <v>1</v>
      </c>
      <c r="H139" s="46"/>
      <c r="I139" s="45" t="s">
        <v>322</v>
      </c>
      <c r="J139" s="44"/>
      <c r="K139" s="46"/>
      <c r="L139" s="46"/>
      <c r="M139" s="60" t="n">
        <v>1</v>
      </c>
      <c r="N139" s="61" t="n">
        <v>1</v>
      </c>
      <c r="O139" s="61"/>
      <c r="P139" s="61" t="n">
        <v>0</v>
      </c>
      <c r="Q139" s="39" t="n">
        <v>1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1</v>
      </c>
      <c r="Y139" s="61" t="n">
        <v>0</v>
      </c>
      <c r="Z139" s="61" t="n">
        <v>0</v>
      </c>
      <c r="AA139" s="61" t="n">
        <v>1</v>
      </c>
      <c r="AB139" s="61" t="n">
        <v>0</v>
      </c>
      <c r="AC139" s="61" t="n">
        <v>0</v>
      </c>
      <c r="AD139" s="62" t="n">
        <v>0</v>
      </c>
      <c r="AE139" s="39" t="n">
        <v>137</v>
      </c>
      <c r="AF139" s="50"/>
    </row>
    <row r="140" customFormat="false" ht="15" hidden="false" customHeight="true" outlineLevel="0" collapsed="false">
      <c r="A140" s="58" t="s">
        <v>326</v>
      </c>
      <c r="B140" s="64" t="s">
        <v>327</v>
      </c>
      <c r="C140" s="68" t="s">
        <v>41</v>
      </c>
      <c r="D140" s="69" t="s">
        <v>168</v>
      </c>
      <c r="E140" s="46" t="s">
        <v>95</v>
      </c>
      <c r="F140" s="46" t="n">
        <v>1</v>
      </c>
      <c r="G140" s="46" t="n">
        <v>1</v>
      </c>
      <c r="H140" s="46"/>
      <c r="I140" s="45" t="s">
        <v>322</v>
      </c>
      <c r="J140" s="69"/>
      <c r="K140" s="46"/>
      <c r="L140" s="46"/>
      <c r="M140" s="60" t="n">
        <v>1</v>
      </c>
      <c r="N140" s="61" t="n">
        <v>1</v>
      </c>
      <c r="O140" s="61"/>
      <c r="P140" s="61" t="n">
        <v>0</v>
      </c>
      <c r="Q140" s="39" t="n">
        <v>1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1</v>
      </c>
      <c r="Y140" s="61" t="n">
        <v>0</v>
      </c>
      <c r="Z140" s="61" t="n">
        <v>0</v>
      </c>
      <c r="AA140" s="61" t="n">
        <v>1</v>
      </c>
      <c r="AB140" s="61" t="n">
        <v>0</v>
      </c>
      <c r="AC140" s="61" t="n">
        <v>0</v>
      </c>
      <c r="AD140" s="62" t="n">
        <v>0</v>
      </c>
      <c r="AE140" s="39" t="n">
        <v>138</v>
      </c>
      <c r="AF140" s="50"/>
    </row>
    <row r="141" customFormat="false" ht="15" hidden="false" customHeight="true" outlineLevel="0" collapsed="false">
      <c r="A141" s="58" t="s">
        <v>328</v>
      </c>
      <c r="B141" s="64" t="s">
        <v>329</v>
      </c>
      <c r="C141" s="59" t="s">
        <v>41</v>
      </c>
      <c r="D141" s="44" t="s">
        <v>168</v>
      </c>
      <c r="E141" s="46" t="s">
        <v>95</v>
      </c>
      <c r="F141" s="46" t="n">
        <v>1</v>
      </c>
      <c r="G141" s="42" t="n">
        <v>1</v>
      </c>
      <c r="H141" s="46" t="s">
        <v>96</v>
      </c>
      <c r="I141" s="56" t="str">
        <f aca="false">A141</f>
        <v>S3.020.341</v>
      </c>
      <c r="J141" s="44"/>
      <c r="K141" s="46"/>
      <c r="L141" s="46"/>
      <c r="M141" s="60" t="n">
        <v>1</v>
      </c>
      <c r="N141" s="61" t="n">
        <v>1</v>
      </c>
      <c r="O141" s="61"/>
      <c r="P141" s="61" t="n">
        <v>0</v>
      </c>
      <c r="Q141" s="39" t="n">
        <v>1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1</v>
      </c>
      <c r="Y141" s="61" t="n">
        <v>0</v>
      </c>
      <c r="Z141" s="61" t="n">
        <v>0</v>
      </c>
      <c r="AA141" s="61" t="n">
        <v>1</v>
      </c>
      <c r="AB141" s="61" t="n">
        <v>0</v>
      </c>
      <c r="AC141" s="61" t="n">
        <v>0</v>
      </c>
      <c r="AD141" s="62" t="n">
        <v>0</v>
      </c>
      <c r="AE141" s="39" t="n">
        <v>139</v>
      </c>
      <c r="AF141" s="50"/>
    </row>
    <row r="142" customFormat="false" ht="15" hidden="false" customHeight="true" outlineLevel="0" collapsed="false">
      <c r="A142" s="58" t="s">
        <v>330</v>
      </c>
      <c r="B142" s="64" t="s">
        <v>331</v>
      </c>
      <c r="C142" s="59" t="s">
        <v>41</v>
      </c>
      <c r="D142" s="69" t="s">
        <v>168</v>
      </c>
      <c r="E142" s="46" t="s">
        <v>95</v>
      </c>
      <c r="F142" s="46" t="n">
        <v>4</v>
      </c>
      <c r="G142" s="67" t="n">
        <v>1</v>
      </c>
      <c r="H142" s="46" t="s">
        <v>96</v>
      </c>
      <c r="I142" s="56" t="str">
        <f aca="false">A142</f>
        <v>S3.030.305</v>
      </c>
      <c r="J142" s="69"/>
      <c r="K142" s="46"/>
      <c r="L142" s="46"/>
      <c r="M142" s="60" t="n">
        <v>1</v>
      </c>
      <c r="N142" s="61" t="n">
        <v>1</v>
      </c>
      <c r="O142" s="61"/>
      <c r="P142" s="61" t="n">
        <v>0</v>
      </c>
      <c r="Q142" s="39" t="n">
        <v>1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0</v>
      </c>
      <c r="W142" s="61" t="n">
        <v>0</v>
      </c>
      <c r="X142" s="61" t="n">
        <v>1</v>
      </c>
      <c r="Y142" s="61" t="n">
        <v>0</v>
      </c>
      <c r="Z142" s="61" t="n">
        <v>0</v>
      </c>
      <c r="AA142" s="61" t="n">
        <v>3</v>
      </c>
      <c r="AB142" s="61" t="n">
        <v>0</v>
      </c>
      <c r="AC142" s="61" t="n">
        <v>0</v>
      </c>
      <c r="AD142" s="62" t="n">
        <v>0</v>
      </c>
      <c r="AE142" s="28" t="n">
        <v>140</v>
      </c>
      <c r="AF142" s="50"/>
    </row>
    <row r="143" customFormat="false" ht="15" hidden="false" customHeight="true" outlineLevel="0" collapsed="false">
      <c r="A143" s="58" t="s">
        <v>332</v>
      </c>
      <c r="B143" s="64" t="s">
        <v>333</v>
      </c>
      <c r="C143" s="68" t="s">
        <v>41</v>
      </c>
      <c r="D143" s="44" t="s">
        <v>168</v>
      </c>
      <c r="E143" s="46" t="s">
        <v>95</v>
      </c>
      <c r="F143" s="46" t="n">
        <v>4</v>
      </c>
      <c r="G143" s="46" t="n">
        <v>1</v>
      </c>
      <c r="H143" s="46" t="s">
        <v>96</v>
      </c>
      <c r="I143" s="56" t="str">
        <f aca="false">A143</f>
        <v>S3.030.310</v>
      </c>
      <c r="J143" s="44"/>
      <c r="K143" s="46"/>
      <c r="L143" s="46"/>
      <c r="M143" s="60" t="n">
        <v>1</v>
      </c>
      <c r="N143" s="61" t="n">
        <v>1</v>
      </c>
      <c r="O143" s="61"/>
      <c r="P143" s="61" t="n">
        <v>0</v>
      </c>
      <c r="Q143" s="39" t="n">
        <v>1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1</v>
      </c>
      <c r="Y143" s="61" t="n">
        <v>0</v>
      </c>
      <c r="Z143" s="61" t="n">
        <v>0</v>
      </c>
      <c r="AA143" s="61" t="n">
        <v>1</v>
      </c>
      <c r="AB143" s="61" t="n">
        <v>0</v>
      </c>
      <c r="AC143" s="61" t="n">
        <v>0</v>
      </c>
      <c r="AD143" s="62" t="n">
        <v>0</v>
      </c>
      <c r="AE143" s="28" t="n">
        <v>141</v>
      </c>
      <c r="AF143" s="50"/>
    </row>
    <row r="144" customFormat="false" ht="14.15" hidden="false" customHeight="false" outlineLevel="0" collapsed="false">
      <c r="A144" s="58" t="s">
        <v>334</v>
      </c>
      <c r="B144" s="46" t="s">
        <v>335</v>
      </c>
      <c r="C144" s="68" t="s">
        <v>41</v>
      </c>
      <c r="D144" s="69" t="s">
        <v>168</v>
      </c>
      <c r="E144" s="46" t="s">
        <v>107</v>
      </c>
      <c r="F144" s="46" t="n">
        <v>2</v>
      </c>
      <c r="G144" s="46" t="n">
        <v>1</v>
      </c>
      <c r="H144" s="46" t="s">
        <v>108</v>
      </c>
      <c r="I144" s="45" t="s">
        <v>336</v>
      </c>
      <c r="J144" s="69"/>
      <c r="K144" s="46"/>
      <c r="L144" s="46"/>
      <c r="M144" s="60" t="n">
        <v>1</v>
      </c>
      <c r="N144" s="61" t="n">
        <v>1</v>
      </c>
      <c r="O144" s="61"/>
      <c r="P144" s="61" t="n">
        <v>0</v>
      </c>
      <c r="Q144" s="39" t="n">
        <v>1</v>
      </c>
      <c r="R144" s="61" t="n">
        <v>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1</v>
      </c>
      <c r="Y144" s="61" t="n">
        <v>0</v>
      </c>
      <c r="Z144" s="61" t="n">
        <v>0</v>
      </c>
      <c r="AA144" s="61" t="n">
        <v>1</v>
      </c>
      <c r="AB144" s="61" t="n">
        <v>0</v>
      </c>
      <c r="AC144" s="61" t="n">
        <v>0</v>
      </c>
      <c r="AD144" s="62" t="n">
        <v>0</v>
      </c>
      <c r="AE144" s="39" t="n">
        <v>142</v>
      </c>
      <c r="AF144" s="50"/>
    </row>
    <row r="145" customFormat="false" ht="14.15" hidden="false" customHeight="false" outlineLevel="0" collapsed="false">
      <c r="A145" s="58" t="s">
        <v>337</v>
      </c>
      <c r="B145" s="46" t="s">
        <v>338</v>
      </c>
      <c r="C145" s="68" t="s">
        <v>41</v>
      </c>
      <c r="D145" s="44" t="s">
        <v>168</v>
      </c>
      <c r="E145" s="46" t="s">
        <v>107</v>
      </c>
      <c r="F145" s="46" t="n">
        <v>3</v>
      </c>
      <c r="G145" s="46" t="n">
        <v>1</v>
      </c>
      <c r="H145" s="46" t="s">
        <v>108</v>
      </c>
      <c r="I145" s="56" t="str">
        <f aca="false">A145</f>
        <v>S4.020.404</v>
      </c>
      <c r="J145" s="44"/>
      <c r="K145" s="46"/>
      <c r="L145" s="46"/>
      <c r="M145" s="60" t="n">
        <v>1</v>
      </c>
      <c r="N145" s="61" t="n">
        <v>3</v>
      </c>
      <c r="O145" s="61"/>
      <c r="P145" s="61" t="n">
        <v>0</v>
      </c>
      <c r="Q145" s="61" t="n">
        <v>3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1</v>
      </c>
      <c r="Y145" s="61" t="n">
        <v>0</v>
      </c>
      <c r="Z145" s="61" t="n">
        <v>0</v>
      </c>
      <c r="AA145" s="61" t="n">
        <v>2</v>
      </c>
      <c r="AB145" s="61" t="n">
        <v>0</v>
      </c>
      <c r="AC145" s="61" t="n">
        <v>0</v>
      </c>
      <c r="AD145" s="62" t="n">
        <v>0</v>
      </c>
      <c r="AE145" s="39" t="n">
        <v>143</v>
      </c>
      <c r="AF145" s="50"/>
    </row>
    <row r="146" customFormat="false" ht="14.15" hidden="false" customHeight="false" outlineLevel="0" collapsed="false">
      <c r="A146" s="58" t="s">
        <v>339</v>
      </c>
      <c r="B146" s="46" t="s">
        <v>340</v>
      </c>
      <c r="C146" s="59" t="s">
        <v>41</v>
      </c>
      <c r="D146" s="69" t="s">
        <v>168</v>
      </c>
      <c r="E146" s="46" t="s">
        <v>107</v>
      </c>
      <c r="F146" s="46" t="n">
        <v>3</v>
      </c>
      <c r="G146" s="46" t="n">
        <v>1</v>
      </c>
      <c r="H146" s="46" t="s">
        <v>108</v>
      </c>
      <c r="I146" s="56" t="str">
        <f aca="false">A146</f>
        <v>S4.020.405</v>
      </c>
      <c r="J146" s="69"/>
      <c r="K146" s="46"/>
      <c r="L146" s="46"/>
      <c r="M146" s="60" t="n">
        <v>1</v>
      </c>
      <c r="N146" s="61" t="n">
        <v>1</v>
      </c>
      <c r="O146" s="61"/>
      <c r="P146" s="61" t="n">
        <v>0</v>
      </c>
      <c r="Q146" s="39" t="n">
        <v>1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1</v>
      </c>
      <c r="Y146" s="61" t="n">
        <v>0</v>
      </c>
      <c r="Z146" s="61" t="n">
        <v>0</v>
      </c>
      <c r="AA146" s="61" t="n">
        <v>1</v>
      </c>
      <c r="AB146" s="61" t="n">
        <v>0</v>
      </c>
      <c r="AC146" s="61" t="n">
        <v>0</v>
      </c>
      <c r="AD146" s="62" t="n">
        <v>0</v>
      </c>
      <c r="AE146" s="39" t="n">
        <v>144</v>
      </c>
      <c r="AF146" s="50"/>
    </row>
    <row r="147" customFormat="false" ht="14.15" hidden="false" customHeight="false" outlineLevel="0" collapsed="false">
      <c r="A147" s="58" t="s">
        <v>341</v>
      </c>
      <c r="B147" s="46" t="s">
        <v>342</v>
      </c>
      <c r="C147" s="59" t="s">
        <v>41</v>
      </c>
      <c r="D147" s="44" t="s">
        <v>168</v>
      </c>
      <c r="E147" s="46" t="s">
        <v>107</v>
      </c>
      <c r="F147" s="46" t="n">
        <v>3</v>
      </c>
      <c r="G147" s="46" t="n">
        <v>1</v>
      </c>
      <c r="H147" s="46" t="s">
        <v>108</v>
      </c>
      <c r="I147" s="56" t="str">
        <f aca="false">A147</f>
        <v>S4.020.406</v>
      </c>
      <c r="J147" s="44"/>
      <c r="K147" s="46"/>
      <c r="L147" s="46"/>
      <c r="M147" s="60" t="n">
        <v>1</v>
      </c>
      <c r="N147" s="61" t="n">
        <v>1</v>
      </c>
      <c r="O147" s="61"/>
      <c r="P147" s="61" t="n">
        <v>0</v>
      </c>
      <c r="Q147" s="39" t="n">
        <v>1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2</v>
      </c>
      <c r="Y147" s="61" t="n">
        <v>0</v>
      </c>
      <c r="Z147" s="61" t="n">
        <v>0</v>
      </c>
      <c r="AA147" s="61" t="n">
        <v>1</v>
      </c>
      <c r="AB147" s="61" t="n">
        <v>0</v>
      </c>
      <c r="AC147" s="61" t="n">
        <v>0</v>
      </c>
      <c r="AD147" s="62" t="n">
        <v>0</v>
      </c>
      <c r="AE147" s="28" t="n">
        <v>145</v>
      </c>
      <c r="AF147" s="50"/>
    </row>
    <row r="148" customFormat="false" ht="14.15" hidden="false" customHeight="false" outlineLevel="0" collapsed="false">
      <c r="A148" s="58" t="s">
        <v>343</v>
      </c>
      <c r="B148" s="46" t="s">
        <v>344</v>
      </c>
      <c r="C148" s="68" t="s">
        <v>41</v>
      </c>
      <c r="D148" s="69" t="s">
        <v>168</v>
      </c>
      <c r="E148" s="46" t="s">
        <v>107</v>
      </c>
      <c r="F148" s="46" t="n">
        <v>3</v>
      </c>
      <c r="G148" s="46" t="n">
        <v>1</v>
      </c>
      <c r="H148" s="46" t="s">
        <v>108</v>
      </c>
      <c r="I148" s="56" t="str">
        <f aca="false">A148</f>
        <v>S4.020.410</v>
      </c>
      <c r="J148" s="69"/>
      <c r="K148" s="46"/>
      <c r="L148" s="46"/>
      <c r="M148" s="60" t="n">
        <v>1</v>
      </c>
      <c r="N148" s="61" t="n">
        <v>1</v>
      </c>
      <c r="O148" s="61"/>
      <c r="P148" s="61" t="n">
        <v>0</v>
      </c>
      <c r="Q148" s="39" t="n">
        <v>1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1</v>
      </c>
      <c r="Y148" s="61" t="n">
        <v>0</v>
      </c>
      <c r="Z148" s="61" t="n">
        <v>0</v>
      </c>
      <c r="AA148" s="61" t="n">
        <v>1</v>
      </c>
      <c r="AB148" s="61" t="n">
        <v>0</v>
      </c>
      <c r="AC148" s="61" t="n">
        <v>0</v>
      </c>
      <c r="AD148" s="62" t="n">
        <v>0</v>
      </c>
      <c r="AE148" s="28" t="n">
        <v>146</v>
      </c>
      <c r="AF148" s="50"/>
    </row>
    <row r="149" customFormat="false" ht="14.15" hidden="false" customHeight="false" outlineLevel="0" collapsed="false">
      <c r="A149" s="58" t="s">
        <v>345</v>
      </c>
      <c r="B149" s="46" t="s">
        <v>346</v>
      </c>
      <c r="C149" s="68" t="s">
        <v>41</v>
      </c>
      <c r="D149" s="44" t="s">
        <v>168</v>
      </c>
      <c r="E149" s="46" t="s">
        <v>107</v>
      </c>
      <c r="F149" s="46" t="n">
        <v>3</v>
      </c>
      <c r="G149" s="46" t="n">
        <v>1</v>
      </c>
      <c r="H149" s="46" t="s">
        <v>108</v>
      </c>
      <c r="I149" s="56" t="str">
        <f aca="false">A149</f>
        <v>S4.020.411</v>
      </c>
      <c r="J149" s="44"/>
      <c r="K149" s="46"/>
      <c r="L149" s="46"/>
      <c r="M149" s="60" t="n">
        <v>1</v>
      </c>
      <c r="N149" s="61" t="n">
        <v>2</v>
      </c>
      <c r="O149" s="61"/>
      <c r="P149" s="61" t="n">
        <v>0</v>
      </c>
      <c r="Q149" s="61" t="n">
        <v>2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1</v>
      </c>
      <c r="Y149" s="61" t="n">
        <v>0</v>
      </c>
      <c r="Z149" s="61" t="n">
        <v>0</v>
      </c>
      <c r="AA149" s="61" t="n">
        <v>1</v>
      </c>
      <c r="AB149" s="61" t="n">
        <v>0</v>
      </c>
      <c r="AC149" s="61" t="n">
        <v>0</v>
      </c>
      <c r="AD149" s="62" t="n">
        <v>0</v>
      </c>
      <c r="AE149" s="39" t="n">
        <v>147</v>
      </c>
      <c r="AF149" s="50"/>
    </row>
    <row r="150" customFormat="false" ht="14.15" hidden="false" customHeight="false" outlineLevel="0" collapsed="false">
      <c r="A150" s="58" t="s">
        <v>347</v>
      </c>
      <c r="B150" s="46" t="s">
        <v>348</v>
      </c>
      <c r="C150" s="68" t="s">
        <v>41</v>
      </c>
      <c r="D150" s="69" t="s">
        <v>168</v>
      </c>
      <c r="E150" s="46" t="s">
        <v>107</v>
      </c>
      <c r="F150" s="46" t="n">
        <v>2</v>
      </c>
      <c r="G150" s="46" t="n">
        <v>1</v>
      </c>
      <c r="H150" s="46" t="s">
        <v>108</v>
      </c>
      <c r="I150" s="56" t="str">
        <f aca="false">A150</f>
        <v>S4.020.415</v>
      </c>
      <c r="J150" s="69"/>
      <c r="K150" s="46"/>
      <c r="L150" s="46"/>
      <c r="M150" s="60" t="n">
        <v>1</v>
      </c>
      <c r="N150" s="61" t="n">
        <v>1</v>
      </c>
      <c r="O150" s="61"/>
      <c r="P150" s="61" t="n">
        <v>0</v>
      </c>
      <c r="Q150" s="39" t="n">
        <v>1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1</v>
      </c>
      <c r="Y150" s="61" t="n">
        <v>0</v>
      </c>
      <c r="Z150" s="61" t="n">
        <v>0</v>
      </c>
      <c r="AA150" s="61" t="n">
        <v>1</v>
      </c>
      <c r="AB150" s="61" t="n">
        <v>0</v>
      </c>
      <c r="AC150" s="61" t="n">
        <v>0</v>
      </c>
      <c r="AD150" s="62" t="n">
        <v>0</v>
      </c>
      <c r="AE150" s="39" t="n">
        <v>148</v>
      </c>
      <c r="AF150" s="50"/>
    </row>
    <row r="151" customFormat="false" ht="14.15" hidden="false" customHeight="false" outlineLevel="0" collapsed="false">
      <c r="A151" s="58" t="s">
        <v>349</v>
      </c>
      <c r="B151" s="46" t="s">
        <v>350</v>
      </c>
      <c r="C151" s="59" t="s">
        <v>41</v>
      </c>
      <c r="D151" s="44" t="s">
        <v>168</v>
      </c>
      <c r="E151" s="46" t="s">
        <v>107</v>
      </c>
      <c r="F151" s="46" t="n">
        <v>2</v>
      </c>
      <c r="G151" s="46" t="n">
        <v>1</v>
      </c>
      <c r="H151" s="46" t="s">
        <v>108</v>
      </c>
      <c r="I151" s="56" t="str">
        <f aca="false">A151</f>
        <v>S4.020.419</v>
      </c>
      <c r="J151" s="44"/>
      <c r="K151" s="46"/>
      <c r="L151" s="46"/>
      <c r="M151" s="60" t="n">
        <v>1</v>
      </c>
      <c r="N151" s="61" t="n">
        <v>1</v>
      </c>
      <c r="O151" s="61"/>
      <c r="P151" s="61" t="n">
        <v>0</v>
      </c>
      <c r="Q151" s="39" t="n">
        <v>1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1</v>
      </c>
      <c r="Y151" s="61" t="n">
        <v>0</v>
      </c>
      <c r="Z151" s="61" t="n">
        <v>0</v>
      </c>
      <c r="AA151" s="61" t="n">
        <v>1</v>
      </c>
      <c r="AB151" s="61" t="n">
        <v>0</v>
      </c>
      <c r="AC151" s="61" t="n">
        <v>0</v>
      </c>
      <c r="AD151" s="62" t="n">
        <v>0</v>
      </c>
      <c r="AE151" s="39" t="n">
        <v>149</v>
      </c>
      <c r="AF151" s="50"/>
    </row>
    <row r="152" customFormat="false" ht="14.15" hidden="false" customHeight="false" outlineLevel="0" collapsed="false">
      <c r="A152" s="58" t="s">
        <v>351</v>
      </c>
      <c r="B152" s="46" t="s">
        <v>352</v>
      </c>
      <c r="C152" s="59" t="s">
        <v>41</v>
      </c>
      <c r="D152" s="69" t="s">
        <v>168</v>
      </c>
      <c r="E152" s="46" t="s">
        <v>107</v>
      </c>
      <c r="F152" s="46" t="n">
        <v>1</v>
      </c>
      <c r="G152" s="46" t="n">
        <v>1</v>
      </c>
      <c r="H152" s="46" t="s">
        <v>108</v>
      </c>
      <c r="I152" s="56" t="str">
        <f aca="false">A152</f>
        <v>S4.020.434</v>
      </c>
      <c r="J152" s="69"/>
      <c r="K152" s="46"/>
      <c r="L152" s="46"/>
      <c r="M152" s="60" t="n">
        <v>1</v>
      </c>
      <c r="N152" s="61" t="n">
        <v>1</v>
      </c>
      <c r="O152" s="61"/>
      <c r="P152" s="61" t="n">
        <v>0</v>
      </c>
      <c r="Q152" s="39" t="n">
        <v>1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1</v>
      </c>
      <c r="Y152" s="61" t="n">
        <v>0</v>
      </c>
      <c r="Z152" s="61" t="n">
        <v>0</v>
      </c>
      <c r="AA152" s="61" t="n">
        <v>1</v>
      </c>
      <c r="AB152" s="61" t="n">
        <v>0</v>
      </c>
      <c r="AC152" s="61" t="n">
        <v>0</v>
      </c>
      <c r="AD152" s="62" t="n">
        <v>0</v>
      </c>
      <c r="AE152" s="28" t="n">
        <v>150</v>
      </c>
      <c r="AF152" s="50"/>
    </row>
    <row r="153" customFormat="false" ht="14.15" hidden="false" customHeight="false" outlineLevel="0" collapsed="false">
      <c r="A153" s="58" t="s">
        <v>353</v>
      </c>
      <c r="B153" s="46" t="s">
        <v>354</v>
      </c>
      <c r="C153" s="68" t="s">
        <v>41</v>
      </c>
      <c r="D153" s="44" t="s">
        <v>168</v>
      </c>
      <c r="E153" s="46" t="s">
        <v>107</v>
      </c>
      <c r="F153" s="46" t="n">
        <v>1</v>
      </c>
      <c r="G153" s="46" t="n">
        <v>1</v>
      </c>
      <c r="H153" s="46"/>
      <c r="I153" s="45" t="s">
        <v>355</v>
      </c>
      <c r="J153" s="44"/>
      <c r="K153" s="46"/>
      <c r="L153" s="46"/>
      <c r="M153" s="60" t="n">
        <v>1</v>
      </c>
      <c r="N153" s="61" t="n">
        <v>1</v>
      </c>
      <c r="O153" s="61"/>
      <c r="P153" s="61" t="n">
        <v>0</v>
      </c>
      <c r="Q153" s="39" t="n">
        <v>1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1</v>
      </c>
      <c r="Y153" s="61" t="n">
        <v>0</v>
      </c>
      <c r="Z153" s="61" t="n">
        <v>0</v>
      </c>
      <c r="AA153" s="61" t="n">
        <v>1</v>
      </c>
      <c r="AB153" s="61" t="n">
        <v>0</v>
      </c>
      <c r="AC153" s="61" t="n">
        <v>0</v>
      </c>
      <c r="AD153" s="62" t="n">
        <v>0</v>
      </c>
      <c r="AE153" s="28" t="n">
        <v>151</v>
      </c>
      <c r="AF153" s="50"/>
    </row>
    <row r="154" customFormat="false" ht="14.15" hidden="false" customHeight="false" outlineLevel="0" collapsed="false">
      <c r="A154" s="58" t="s">
        <v>355</v>
      </c>
      <c r="B154" s="46" t="s">
        <v>356</v>
      </c>
      <c r="C154" s="68" t="s">
        <v>41</v>
      </c>
      <c r="D154" s="69" t="s">
        <v>168</v>
      </c>
      <c r="E154" s="46" t="s">
        <v>107</v>
      </c>
      <c r="F154" s="46" t="n">
        <v>1</v>
      </c>
      <c r="G154" s="46" t="n">
        <v>1</v>
      </c>
      <c r="H154" s="46" t="s">
        <v>108</v>
      </c>
      <c r="I154" s="56" t="str">
        <f aca="false">A154</f>
        <v>S4.020.437</v>
      </c>
      <c r="J154" s="69"/>
      <c r="K154" s="46"/>
      <c r="L154" s="46"/>
      <c r="M154" s="60" t="n">
        <v>1</v>
      </c>
      <c r="N154" s="61" t="n">
        <v>3</v>
      </c>
      <c r="O154" s="61"/>
      <c r="P154" s="61" t="n">
        <v>0</v>
      </c>
      <c r="Q154" s="61" t="n">
        <v>3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3</v>
      </c>
      <c r="Y154" s="61" t="n">
        <v>0</v>
      </c>
      <c r="Z154" s="61" t="n">
        <v>0</v>
      </c>
      <c r="AA154" s="61" t="n">
        <v>3</v>
      </c>
      <c r="AB154" s="61" t="n">
        <v>0</v>
      </c>
      <c r="AC154" s="61" t="n">
        <v>0</v>
      </c>
      <c r="AD154" s="62" t="n">
        <v>0</v>
      </c>
      <c r="AE154" s="39" t="n">
        <v>152</v>
      </c>
      <c r="AF154" s="50"/>
    </row>
    <row r="155" customFormat="false" ht="14.15" hidden="false" customHeight="false" outlineLevel="0" collapsed="false">
      <c r="A155" s="58" t="s">
        <v>357</v>
      </c>
      <c r="B155" s="46" t="s">
        <v>358</v>
      </c>
      <c r="C155" s="68" t="s">
        <v>41</v>
      </c>
      <c r="D155" s="44" t="s">
        <v>168</v>
      </c>
      <c r="E155" s="46" t="s">
        <v>107</v>
      </c>
      <c r="F155" s="46" t="n">
        <v>1</v>
      </c>
      <c r="G155" s="42" t="n">
        <v>1</v>
      </c>
      <c r="H155" s="46"/>
      <c r="I155" s="45" t="s">
        <v>355</v>
      </c>
      <c r="J155" s="44"/>
      <c r="K155" s="46"/>
      <c r="L155" s="46"/>
      <c r="M155" s="60" t="n">
        <v>1</v>
      </c>
      <c r="N155" s="61" t="n">
        <v>1</v>
      </c>
      <c r="O155" s="61"/>
      <c r="P155" s="61" t="n">
        <v>0</v>
      </c>
      <c r="Q155" s="39" t="n">
        <v>1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1</v>
      </c>
      <c r="Y155" s="61" t="n">
        <v>0</v>
      </c>
      <c r="Z155" s="61" t="n">
        <v>0</v>
      </c>
      <c r="AA155" s="61" t="n">
        <v>1</v>
      </c>
      <c r="AB155" s="61" t="n">
        <v>0</v>
      </c>
      <c r="AC155" s="61" t="n">
        <v>0</v>
      </c>
      <c r="AD155" s="62" t="n">
        <v>0</v>
      </c>
      <c r="AE155" s="39" t="n">
        <v>153</v>
      </c>
      <c r="AF155" s="50"/>
    </row>
    <row r="156" customFormat="false" ht="14.15" hidden="false" customHeight="false" outlineLevel="0" collapsed="false">
      <c r="A156" s="58" t="s">
        <v>359</v>
      </c>
      <c r="B156" s="46" t="s">
        <v>360</v>
      </c>
      <c r="C156" s="59" t="s">
        <v>41</v>
      </c>
      <c r="D156" s="69" t="s">
        <v>168</v>
      </c>
      <c r="E156" s="46" t="s">
        <v>107</v>
      </c>
      <c r="F156" s="46" t="n">
        <v>1</v>
      </c>
      <c r="G156" s="67" t="n">
        <v>1</v>
      </c>
      <c r="H156" s="46"/>
      <c r="I156" s="45" t="s">
        <v>355</v>
      </c>
      <c r="J156" s="69"/>
      <c r="K156" s="46"/>
      <c r="L156" s="46"/>
      <c r="M156" s="60" t="n">
        <v>1</v>
      </c>
      <c r="N156" s="61" t="n">
        <v>1</v>
      </c>
      <c r="O156" s="61"/>
      <c r="P156" s="61" t="n">
        <v>0</v>
      </c>
      <c r="Q156" s="39" t="n">
        <v>1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1</v>
      </c>
      <c r="Y156" s="61" t="n">
        <v>0</v>
      </c>
      <c r="Z156" s="61" t="n">
        <v>0</v>
      </c>
      <c r="AA156" s="61" t="n">
        <v>1</v>
      </c>
      <c r="AB156" s="61" t="n">
        <v>0</v>
      </c>
      <c r="AC156" s="61" t="n">
        <v>0</v>
      </c>
      <c r="AD156" s="62" t="n">
        <v>0</v>
      </c>
      <c r="AE156" s="39" t="n">
        <v>154</v>
      </c>
      <c r="AF156" s="50"/>
    </row>
    <row r="157" customFormat="false" ht="14.15" hidden="false" customHeight="false" outlineLevel="0" collapsed="false">
      <c r="A157" s="58" t="s">
        <v>361</v>
      </c>
      <c r="B157" s="46" t="s">
        <v>362</v>
      </c>
      <c r="C157" s="59" t="s">
        <v>41</v>
      </c>
      <c r="D157" s="44" t="s">
        <v>168</v>
      </c>
      <c r="E157" s="46" t="s">
        <v>107</v>
      </c>
      <c r="F157" s="46" t="n">
        <v>1</v>
      </c>
      <c r="G157" s="46" t="n">
        <v>1</v>
      </c>
      <c r="H157" s="46" t="s">
        <v>108</v>
      </c>
      <c r="I157" s="56" t="str">
        <f aca="false">A157</f>
        <v>S4.020.441</v>
      </c>
      <c r="J157" s="44"/>
      <c r="K157" s="46"/>
      <c r="L157" s="46"/>
      <c r="M157" s="60" t="n">
        <v>1</v>
      </c>
      <c r="N157" s="61" t="n">
        <v>1</v>
      </c>
      <c r="O157" s="61"/>
      <c r="P157" s="61" t="n">
        <v>0</v>
      </c>
      <c r="Q157" s="39" t="n">
        <v>1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1</v>
      </c>
      <c r="Y157" s="61" t="n">
        <v>0</v>
      </c>
      <c r="Z157" s="61" t="n">
        <v>0</v>
      </c>
      <c r="AA157" s="61" t="n">
        <v>1</v>
      </c>
      <c r="AB157" s="61" t="n">
        <v>0</v>
      </c>
      <c r="AC157" s="61" t="n">
        <v>0</v>
      </c>
      <c r="AD157" s="62" t="n">
        <v>0</v>
      </c>
      <c r="AE157" s="28" t="n">
        <v>155</v>
      </c>
      <c r="AF157" s="50"/>
    </row>
    <row r="158" customFormat="false" ht="14.15" hidden="false" customHeight="false" outlineLevel="0" collapsed="false">
      <c r="A158" s="58" t="s">
        <v>363</v>
      </c>
      <c r="B158" s="46" t="s">
        <v>364</v>
      </c>
      <c r="C158" s="68" t="s">
        <v>41</v>
      </c>
      <c r="D158" s="69" t="s">
        <v>168</v>
      </c>
      <c r="E158" s="46" t="s">
        <v>107</v>
      </c>
      <c r="F158" s="46" t="n">
        <v>4</v>
      </c>
      <c r="G158" s="46" t="n">
        <v>1</v>
      </c>
      <c r="H158" s="46" t="s">
        <v>108</v>
      </c>
      <c r="I158" s="56" t="str">
        <f aca="false">A158</f>
        <v>S4.030.405</v>
      </c>
      <c r="J158" s="69"/>
      <c r="K158" s="46"/>
      <c r="L158" s="46"/>
      <c r="M158" s="60" t="n">
        <v>1</v>
      </c>
      <c r="N158" s="61" t="n">
        <v>1</v>
      </c>
      <c r="O158" s="61"/>
      <c r="P158" s="61" t="n">
        <v>0</v>
      </c>
      <c r="Q158" s="39" t="n">
        <v>1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1</v>
      </c>
      <c r="Y158" s="61" t="n">
        <v>0</v>
      </c>
      <c r="Z158" s="61" t="n">
        <v>0</v>
      </c>
      <c r="AA158" s="61" t="n">
        <v>3</v>
      </c>
      <c r="AB158" s="61" t="n">
        <v>0</v>
      </c>
      <c r="AC158" s="61" t="n">
        <v>0</v>
      </c>
      <c r="AD158" s="62" t="n">
        <v>0</v>
      </c>
      <c r="AE158" s="28" t="n">
        <v>156</v>
      </c>
      <c r="AF158" s="50"/>
    </row>
    <row r="159" customFormat="false" ht="14.15" hidden="false" customHeight="false" outlineLevel="0" collapsed="false">
      <c r="A159" s="58" t="s">
        <v>365</v>
      </c>
      <c r="B159" s="46" t="s">
        <v>366</v>
      </c>
      <c r="C159" s="68" t="s">
        <v>41</v>
      </c>
      <c r="D159" s="44" t="s">
        <v>168</v>
      </c>
      <c r="E159" s="46" t="s">
        <v>107</v>
      </c>
      <c r="F159" s="46" t="n">
        <v>4</v>
      </c>
      <c r="G159" s="46" t="n">
        <v>1</v>
      </c>
      <c r="H159" s="46" t="s">
        <v>108</v>
      </c>
      <c r="I159" s="56" t="str">
        <f aca="false">A159</f>
        <v>S4.030.410</v>
      </c>
      <c r="J159" s="44"/>
      <c r="K159" s="46"/>
      <c r="L159" s="46"/>
      <c r="M159" s="60" t="n">
        <v>1</v>
      </c>
      <c r="N159" s="61" t="n">
        <v>1</v>
      </c>
      <c r="O159" s="61"/>
      <c r="P159" s="61" t="n">
        <v>0</v>
      </c>
      <c r="Q159" s="39" t="n">
        <v>1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1</v>
      </c>
      <c r="Y159" s="61" t="n">
        <v>0</v>
      </c>
      <c r="Z159" s="61" t="n">
        <v>0</v>
      </c>
      <c r="AA159" s="61" t="n">
        <v>1</v>
      </c>
      <c r="AB159" s="61" t="n">
        <v>0</v>
      </c>
      <c r="AC159" s="61" t="n">
        <v>0</v>
      </c>
      <c r="AD159" s="62" t="n">
        <v>0</v>
      </c>
      <c r="AE159" s="39" t="n">
        <v>157</v>
      </c>
      <c r="AF159" s="50"/>
    </row>
    <row r="160" customFormat="false" ht="14.15" hidden="false" customHeight="false" outlineLevel="0" collapsed="false">
      <c r="A160" s="58" t="s">
        <v>367</v>
      </c>
      <c r="B160" s="46" t="s">
        <v>368</v>
      </c>
      <c r="C160" s="68" t="s">
        <v>41</v>
      </c>
      <c r="D160" s="69" t="s">
        <v>168</v>
      </c>
      <c r="E160" s="46" t="s">
        <v>119</v>
      </c>
      <c r="F160" s="46" t="n">
        <v>2</v>
      </c>
      <c r="G160" s="46" t="n">
        <v>1</v>
      </c>
      <c r="H160" s="46" t="s">
        <v>120</v>
      </c>
      <c r="I160" s="45" t="s">
        <v>369</v>
      </c>
      <c r="J160" s="69"/>
      <c r="K160" s="46"/>
      <c r="L160" s="46"/>
      <c r="M160" s="60" t="n">
        <v>1</v>
      </c>
      <c r="N160" s="61" t="n">
        <v>1</v>
      </c>
      <c r="O160" s="61"/>
      <c r="P160" s="61" t="n">
        <v>0</v>
      </c>
      <c r="Q160" s="39" t="n">
        <v>1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1</v>
      </c>
      <c r="Y160" s="61" t="n">
        <v>0</v>
      </c>
      <c r="Z160" s="61" t="n">
        <v>0</v>
      </c>
      <c r="AA160" s="61" t="n">
        <v>1</v>
      </c>
      <c r="AB160" s="61" t="n">
        <v>0</v>
      </c>
      <c r="AC160" s="61" t="n">
        <v>0</v>
      </c>
      <c r="AD160" s="62" t="n">
        <v>0</v>
      </c>
      <c r="AE160" s="39" t="n">
        <v>158</v>
      </c>
      <c r="AF160" s="50"/>
    </row>
    <row r="161" customFormat="false" ht="14.15" hidden="false" customHeight="false" outlineLevel="0" collapsed="false">
      <c r="A161" s="58" t="s">
        <v>370</v>
      </c>
      <c r="B161" s="46" t="s">
        <v>371</v>
      </c>
      <c r="C161" s="59" t="s">
        <v>41</v>
      </c>
      <c r="D161" s="44" t="s">
        <v>168</v>
      </c>
      <c r="E161" s="46" t="s">
        <v>119</v>
      </c>
      <c r="F161" s="46" t="n">
        <v>3</v>
      </c>
      <c r="G161" s="46" t="n">
        <v>1</v>
      </c>
      <c r="H161" s="46" t="s">
        <v>120</v>
      </c>
      <c r="I161" s="56" t="str">
        <f aca="false">A161</f>
        <v>S5.020.504</v>
      </c>
      <c r="J161" s="44"/>
      <c r="K161" s="46"/>
      <c r="L161" s="46"/>
      <c r="M161" s="60" t="n">
        <v>1</v>
      </c>
      <c r="N161" s="61" t="n">
        <v>3</v>
      </c>
      <c r="O161" s="61"/>
      <c r="P161" s="61" t="n">
        <v>0</v>
      </c>
      <c r="Q161" s="61" t="n">
        <v>3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2</v>
      </c>
      <c r="Y161" s="61" t="n">
        <v>0</v>
      </c>
      <c r="Z161" s="61" t="n">
        <v>0</v>
      </c>
      <c r="AA161" s="61" t="n">
        <v>2</v>
      </c>
      <c r="AB161" s="61" t="n">
        <v>0</v>
      </c>
      <c r="AC161" s="61" t="n">
        <v>0</v>
      </c>
      <c r="AD161" s="62" t="n">
        <v>0</v>
      </c>
      <c r="AE161" s="39" t="n">
        <v>159</v>
      </c>
      <c r="AF161" s="50"/>
    </row>
    <row r="162" customFormat="false" ht="14.15" hidden="false" customHeight="false" outlineLevel="0" collapsed="false">
      <c r="A162" s="58" t="s">
        <v>372</v>
      </c>
      <c r="B162" s="46" t="s">
        <v>373</v>
      </c>
      <c r="C162" s="59" t="s">
        <v>41</v>
      </c>
      <c r="D162" s="69" t="s">
        <v>168</v>
      </c>
      <c r="E162" s="46" t="s">
        <v>119</v>
      </c>
      <c r="F162" s="46" t="n">
        <v>3</v>
      </c>
      <c r="G162" s="46" t="n">
        <v>1</v>
      </c>
      <c r="H162" s="46" t="s">
        <v>120</v>
      </c>
      <c r="I162" s="56" t="str">
        <f aca="false">A162</f>
        <v>S5.020.505</v>
      </c>
      <c r="J162" s="69"/>
      <c r="K162" s="46"/>
      <c r="L162" s="46"/>
      <c r="M162" s="60" t="n">
        <v>1</v>
      </c>
      <c r="N162" s="61" t="n">
        <v>1</v>
      </c>
      <c r="O162" s="61"/>
      <c r="P162" s="61" t="n">
        <v>0</v>
      </c>
      <c r="Q162" s="39" t="n">
        <v>1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1</v>
      </c>
      <c r="Y162" s="61" t="n">
        <v>0</v>
      </c>
      <c r="Z162" s="61" t="n">
        <v>0</v>
      </c>
      <c r="AA162" s="61" t="n">
        <v>1</v>
      </c>
      <c r="AB162" s="61" t="n">
        <v>0</v>
      </c>
      <c r="AC162" s="61" t="n">
        <v>0</v>
      </c>
      <c r="AD162" s="62" t="n">
        <v>0</v>
      </c>
      <c r="AE162" s="28" t="n">
        <v>160</v>
      </c>
      <c r="AF162" s="50"/>
    </row>
    <row r="163" customFormat="false" ht="14.15" hidden="false" customHeight="false" outlineLevel="0" collapsed="false">
      <c r="A163" s="58" t="s">
        <v>374</v>
      </c>
      <c r="B163" s="46" t="s">
        <v>375</v>
      </c>
      <c r="C163" s="68" t="s">
        <v>41</v>
      </c>
      <c r="D163" s="44" t="s">
        <v>168</v>
      </c>
      <c r="E163" s="46" t="s">
        <v>119</v>
      </c>
      <c r="F163" s="46" t="n">
        <v>3</v>
      </c>
      <c r="G163" s="46" t="n">
        <v>1</v>
      </c>
      <c r="H163" s="46" t="s">
        <v>120</v>
      </c>
      <c r="I163" s="56" t="str">
        <f aca="false">A163</f>
        <v>S5.020.506</v>
      </c>
      <c r="J163" s="44"/>
      <c r="K163" s="46"/>
      <c r="L163" s="46"/>
      <c r="M163" s="60" t="n">
        <v>1</v>
      </c>
      <c r="N163" s="61" t="n">
        <v>1</v>
      </c>
      <c r="O163" s="61"/>
      <c r="P163" s="61" t="n">
        <v>0</v>
      </c>
      <c r="Q163" s="39" t="n">
        <v>1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1</v>
      </c>
      <c r="Y163" s="61" t="n">
        <v>0</v>
      </c>
      <c r="Z163" s="61" t="n">
        <v>0</v>
      </c>
      <c r="AA163" s="61" t="n">
        <v>1</v>
      </c>
      <c r="AB163" s="61" t="n">
        <v>0</v>
      </c>
      <c r="AC163" s="61" t="n">
        <v>0</v>
      </c>
      <c r="AD163" s="62" t="n">
        <v>0</v>
      </c>
      <c r="AE163" s="28" t="n">
        <v>161</v>
      </c>
      <c r="AF163" s="50"/>
    </row>
    <row r="164" customFormat="false" ht="14.15" hidden="false" customHeight="false" outlineLevel="0" collapsed="false">
      <c r="A164" s="58" t="s">
        <v>376</v>
      </c>
      <c r="B164" s="46" t="s">
        <v>377</v>
      </c>
      <c r="C164" s="68" t="s">
        <v>41</v>
      </c>
      <c r="D164" s="69" t="s">
        <v>168</v>
      </c>
      <c r="E164" s="46" t="s">
        <v>119</v>
      </c>
      <c r="F164" s="46" t="n">
        <v>3</v>
      </c>
      <c r="G164" s="46" t="n">
        <v>1</v>
      </c>
      <c r="H164" s="46" t="s">
        <v>120</v>
      </c>
      <c r="I164" s="56" t="str">
        <f aca="false">A164</f>
        <v>S5.020.510</v>
      </c>
      <c r="J164" s="69"/>
      <c r="K164" s="46"/>
      <c r="L164" s="46"/>
      <c r="M164" s="60" t="n">
        <v>1</v>
      </c>
      <c r="N164" s="61" t="n">
        <v>1</v>
      </c>
      <c r="O164" s="61"/>
      <c r="P164" s="61" t="n">
        <v>0</v>
      </c>
      <c r="Q164" s="39" t="n">
        <v>1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1</v>
      </c>
      <c r="Y164" s="61" t="n">
        <v>0</v>
      </c>
      <c r="Z164" s="61" t="n">
        <v>0</v>
      </c>
      <c r="AA164" s="61" t="n">
        <v>1</v>
      </c>
      <c r="AB164" s="61" t="n">
        <v>0</v>
      </c>
      <c r="AC164" s="61" t="n">
        <v>0</v>
      </c>
      <c r="AD164" s="62" t="n">
        <v>0</v>
      </c>
      <c r="AE164" s="39" t="n">
        <v>162</v>
      </c>
      <c r="AF164" s="50"/>
    </row>
    <row r="165" customFormat="false" ht="14.15" hidden="false" customHeight="false" outlineLevel="0" collapsed="false">
      <c r="A165" s="58" t="s">
        <v>378</v>
      </c>
      <c r="B165" s="46" t="s">
        <v>379</v>
      </c>
      <c r="C165" s="68" t="s">
        <v>41</v>
      </c>
      <c r="D165" s="44" t="s">
        <v>168</v>
      </c>
      <c r="E165" s="46" t="s">
        <v>119</v>
      </c>
      <c r="F165" s="46" t="n">
        <v>3</v>
      </c>
      <c r="G165" s="46" t="n">
        <v>1</v>
      </c>
      <c r="H165" s="46" t="s">
        <v>120</v>
      </c>
      <c r="I165" s="56" t="str">
        <f aca="false">A165</f>
        <v>S5.020.511</v>
      </c>
      <c r="J165" s="44"/>
      <c r="K165" s="46"/>
      <c r="L165" s="46"/>
      <c r="M165" s="60" t="n">
        <v>1</v>
      </c>
      <c r="N165" s="61" t="n">
        <v>2</v>
      </c>
      <c r="O165" s="61"/>
      <c r="P165" s="61" t="n">
        <v>0</v>
      </c>
      <c r="Q165" s="61" t="n">
        <v>2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1</v>
      </c>
      <c r="Y165" s="61" t="n">
        <v>0</v>
      </c>
      <c r="Z165" s="61" t="n">
        <v>0</v>
      </c>
      <c r="AA165" s="61" t="n">
        <v>1</v>
      </c>
      <c r="AB165" s="61" t="n">
        <v>0</v>
      </c>
      <c r="AC165" s="61" t="n">
        <v>0</v>
      </c>
      <c r="AD165" s="62" t="n">
        <v>0</v>
      </c>
      <c r="AE165" s="39" t="n">
        <v>163</v>
      </c>
      <c r="AF165" s="50"/>
    </row>
    <row r="166" customFormat="false" ht="14.15" hidden="false" customHeight="false" outlineLevel="0" collapsed="false">
      <c r="A166" s="58" t="s">
        <v>380</v>
      </c>
      <c r="B166" s="46" t="s">
        <v>381</v>
      </c>
      <c r="C166" s="59" t="s">
        <v>41</v>
      </c>
      <c r="D166" s="69" t="s">
        <v>168</v>
      </c>
      <c r="E166" s="46" t="s">
        <v>119</v>
      </c>
      <c r="F166" s="46" t="n">
        <v>2</v>
      </c>
      <c r="G166" s="46" t="n">
        <v>1</v>
      </c>
      <c r="H166" s="46" t="s">
        <v>120</v>
      </c>
      <c r="I166" s="56" t="str">
        <f aca="false">A166</f>
        <v>S5.020.515</v>
      </c>
      <c r="J166" s="69"/>
      <c r="K166" s="46"/>
      <c r="L166" s="46"/>
      <c r="M166" s="60" t="n">
        <v>1</v>
      </c>
      <c r="N166" s="61" t="n">
        <v>1</v>
      </c>
      <c r="O166" s="61"/>
      <c r="P166" s="61" t="n">
        <v>0</v>
      </c>
      <c r="Q166" s="39" t="n">
        <v>1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1</v>
      </c>
      <c r="Y166" s="61" t="n">
        <v>0</v>
      </c>
      <c r="Z166" s="61" t="n">
        <v>0</v>
      </c>
      <c r="AA166" s="61" t="n">
        <v>1</v>
      </c>
      <c r="AB166" s="61" t="n">
        <v>0</v>
      </c>
      <c r="AC166" s="61" t="n">
        <v>0</v>
      </c>
      <c r="AD166" s="62" t="n">
        <v>0</v>
      </c>
      <c r="AE166" s="39" t="n">
        <v>164</v>
      </c>
      <c r="AF166" s="50"/>
    </row>
    <row r="167" customFormat="false" ht="14.15" hidden="false" customHeight="false" outlineLevel="0" collapsed="false">
      <c r="A167" s="58" t="s">
        <v>382</v>
      </c>
      <c r="B167" s="46" t="s">
        <v>383</v>
      </c>
      <c r="C167" s="59" t="s">
        <v>41</v>
      </c>
      <c r="D167" s="44" t="s">
        <v>168</v>
      </c>
      <c r="E167" s="46" t="s">
        <v>119</v>
      </c>
      <c r="F167" s="46" t="n">
        <v>2</v>
      </c>
      <c r="G167" s="46" t="n">
        <v>1</v>
      </c>
      <c r="H167" s="46" t="s">
        <v>120</v>
      </c>
      <c r="I167" s="56" t="str">
        <f aca="false">A167</f>
        <v>S5.020.519</v>
      </c>
      <c r="J167" s="44"/>
      <c r="K167" s="46"/>
      <c r="L167" s="46"/>
      <c r="M167" s="60" t="n">
        <v>1</v>
      </c>
      <c r="N167" s="61" t="n">
        <v>1</v>
      </c>
      <c r="O167" s="61"/>
      <c r="P167" s="61" t="n">
        <v>0</v>
      </c>
      <c r="Q167" s="39" t="n">
        <v>1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1</v>
      </c>
      <c r="Y167" s="61" t="n">
        <v>0</v>
      </c>
      <c r="Z167" s="61" t="n">
        <v>0</v>
      </c>
      <c r="AA167" s="61" t="n">
        <v>1</v>
      </c>
      <c r="AB167" s="61" t="n">
        <v>0</v>
      </c>
      <c r="AC167" s="61" t="n">
        <v>0</v>
      </c>
      <c r="AD167" s="62" t="n">
        <v>0</v>
      </c>
      <c r="AE167" s="28" t="n">
        <v>165</v>
      </c>
      <c r="AF167" s="50"/>
    </row>
    <row r="168" customFormat="false" ht="14.15" hidden="false" customHeight="false" outlineLevel="0" collapsed="false">
      <c r="A168" s="58" t="s">
        <v>384</v>
      </c>
      <c r="B168" s="46" t="s">
        <v>385</v>
      </c>
      <c r="C168" s="68" t="s">
        <v>41</v>
      </c>
      <c r="D168" s="69" t="s">
        <v>168</v>
      </c>
      <c r="E168" s="46" t="s">
        <v>119</v>
      </c>
      <c r="F168" s="46" t="n">
        <v>1</v>
      </c>
      <c r="G168" s="46" t="n">
        <v>1</v>
      </c>
      <c r="H168" s="46" t="s">
        <v>120</v>
      </c>
      <c r="I168" s="56" t="str">
        <f aca="false">A168</f>
        <v>S5.020.534</v>
      </c>
      <c r="J168" s="69"/>
      <c r="K168" s="46"/>
      <c r="L168" s="46"/>
      <c r="M168" s="60" t="n">
        <v>1</v>
      </c>
      <c r="N168" s="61" t="n">
        <v>1</v>
      </c>
      <c r="O168" s="61"/>
      <c r="P168" s="61" t="n">
        <v>0</v>
      </c>
      <c r="Q168" s="39" t="n">
        <v>1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1</v>
      </c>
      <c r="Y168" s="61" t="n">
        <v>0</v>
      </c>
      <c r="Z168" s="61" t="n">
        <v>0</v>
      </c>
      <c r="AA168" s="61" t="n">
        <v>1</v>
      </c>
      <c r="AB168" s="61" t="n">
        <v>0</v>
      </c>
      <c r="AC168" s="61" t="n">
        <v>0</v>
      </c>
      <c r="AD168" s="62" t="n">
        <v>0</v>
      </c>
      <c r="AE168" s="28" t="n">
        <v>166</v>
      </c>
      <c r="AF168" s="50"/>
    </row>
    <row r="169" customFormat="false" ht="14.15" hidden="false" customHeight="false" outlineLevel="0" collapsed="false">
      <c r="A169" s="58" t="s">
        <v>386</v>
      </c>
      <c r="B169" s="46" t="s">
        <v>387</v>
      </c>
      <c r="C169" s="68" t="s">
        <v>41</v>
      </c>
      <c r="D169" s="44" t="s">
        <v>168</v>
      </c>
      <c r="E169" s="46" t="s">
        <v>119</v>
      </c>
      <c r="F169" s="46" t="n">
        <v>1</v>
      </c>
      <c r="G169" s="42" t="n">
        <v>1</v>
      </c>
      <c r="H169" s="46"/>
      <c r="I169" s="45" t="s">
        <v>388</v>
      </c>
      <c r="J169" s="44"/>
      <c r="K169" s="46"/>
      <c r="L169" s="46"/>
      <c r="M169" s="60" t="n">
        <v>1</v>
      </c>
      <c r="N169" s="61" t="n">
        <v>1</v>
      </c>
      <c r="O169" s="61"/>
      <c r="P169" s="61" t="n">
        <v>0</v>
      </c>
      <c r="Q169" s="39" t="n">
        <v>1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0</v>
      </c>
      <c r="W169" s="61" t="n">
        <v>0</v>
      </c>
      <c r="X169" s="61" t="n">
        <v>1</v>
      </c>
      <c r="Y169" s="61" t="n">
        <v>0</v>
      </c>
      <c r="Z169" s="61" t="n">
        <v>0</v>
      </c>
      <c r="AA169" s="61" t="n">
        <v>1</v>
      </c>
      <c r="AB169" s="61" t="n">
        <v>0</v>
      </c>
      <c r="AC169" s="61" t="n">
        <v>0</v>
      </c>
      <c r="AD169" s="62" t="n">
        <v>0</v>
      </c>
      <c r="AE169" s="39" t="n">
        <v>167</v>
      </c>
      <c r="AF169" s="50"/>
    </row>
    <row r="170" customFormat="false" ht="14.15" hidden="false" customHeight="false" outlineLevel="0" collapsed="false">
      <c r="A170" s="58" t="s">
        <v>388</v>
      </c>
      <c r="B170" s="46" t="s">
        <v>389</v>
      </c>
      <c r="C170" s="68" t="s">
        <v>41</v>
      </c>
      <c r="D170" s="69" t="s">
        <v>168</v>
      </c>
      <c r="E170" s="46" t="s">
        <v>119</v>
      </c>
      <c r="F170" s="46" t="n">
        <v>1</v>
      </c>
      <c r="G170" s="67" t="n">
        <v>1</v>
      </c>
      <c r="H170" s="46" t="s">
        <v>120</v>
      </c>
      <c r="I170" s="56" t="str">
        <f aca="false">A170</f>
        <v>S5.020.537</v>
      </c>
      <c r="J170" s="69"/>
      <c r="K170" s="46"/>
      <c r="L170" s="46"/>
      <c r="M170" s="60" t="n">
        <v>1</v>
      </c>
      <c r="N170" s="61" t="n">
        <v>3</v>
      </c>
      <c r="O170" s="61"/>
      <c r="P170" s="61" t="n">
        <v>0</v>
      </c>
      <c r="Q170" s="61" t="n">
        <v>3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3</v>
      </c>
      <c r="Y170" s="61" t="n">
        <v>0</v>
      </c>
      <c r="Z170" s="61" t="n">
        <v>0</v>
      </c>
      <c r="AA170" s="61" t="n">
        <v>3</v>
      </c>
      <c r="AB170" s="61" t="n">
        <v>0</v>
      </c>
      <c r="AC170" s="61" t="n">
        <v>0</v>
      </c>
      <c r="AD170" s="62" t="n">
        <v>0</v>
      </c>
      <c r="AE170" s="39" t="n">
        <v>168</v>
      </c>
      <c r="AF170" s="50"/>
    </row>
    <row r="171" customFormat="false" ht="14.15" hidden="false" customHeight="false" outlineLevel="0" collapsed="false">
      <c r="A171" s="58" t="s">
        <v>390</v>
      </c>
      <c r="B171" s="46" t="s">
        <v>391</v>
      </c>
      <c r="C171" s="59" t="s">
        <v>41</v>
      </c>
      <c r="D171" s="44" t="s">
        <v>168</v>
      </c>
      <c r="E171" s="46" t="s">
        <v>119</v>
      </c>
      <c r="F171" s="46" t="n">
        <v>1</v>
      </c>
      <c r="G171" s="46" t="n">
        <v>1</v>
      </c>
      <c r="H171" s="46"/>
      <c r="I171" s="45" t="s">
        <v>388</v>
      </c>
      <c r="J171" s="44"/>
      <c r="K171" s="46"/>
      <c r="L171" s="46"/>
      <c r="M171" s="60" t="n">
        <v>1</v>
      </c>
      <c r="N171" s="61" t="n">
        <v>1</v>
      </c>
      <c r="O171" s="61"/>
      <c r="P171" s="61" t="n">
        <v>0</v>
      </c>
      <c r="Q171" s="39" t="n">
        <v>1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1</v>
      </c>
      <c r="Y171" s="61" t="n">
        <v>0</v>
      </c>
      <c r="Z171" s="61" t="n">
        <v>0</v>
      </c>
      <c r="AA171" s="61" t="n">
        <v>1</v>
      </c>
      <c r="AB171" s="61" t="n">
        <v>0</v>
      </c>
      <c r="AC171" s="61" t="n">
        <v>0</v>
      </c>
      <c r="AD171" s="62" t="n">
        <v>0</v>
      </c>
      <c r="AE171" s="39" t="n">
        <v>169</v>
      </c>
      <c r="AF171" s="50"/>
    </row>
    <row r="172" customFormat="false" ht="14.15" hidden="false" customHeight="false" outlineLevel="0" collapsed="false">
      <c r="A172" s="58" t="s">
        <v>392</v>
      </c>
      <c r="B172" s="46" t="s">
        <v>393</v>
      </c>
      <c r="C172" s="59" t="s">
        <v>41</v>
      </c>
      <c r="D172" s="69" t="s">
        <v>168</v>
      </c>
      <c r="E172" s="46" t="s">
        <v>119</v>
      </c>
      <c r="F172" s="46" t="n">
        <v>1</v>
      </c>
      <c r="G172" s="46" t="n">
        <v>1</v>
      </c>
      <c r="H172" s="46"/>
      <c r="I172" s="45" t="s">
        <v>388</v>
      </c>
      <c r="J172" s="69"/>
      <c r="K172" s="46"/>
      <c r="L172" s="46"/>
      <c r="M172" s="60" t="n">
        <v>1</v>
      </c>
      <c r="N172" s="61" t="n">
        <v>1</v>
      </c>
      <c r="O172" s="61"/>
      <c r="P172" s="61" t="n">
        <v>0</v>
      </c>
      <c r="Q172" s="39" t="n">
        <v>1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1</v>
      </c>
      <c r="Y172" s="61" t="n">
        <v>0</v>
      </c>
      <c r="Z172" s="61" t="n">
        <v>0</v>
      </c>
      <c r="AA172" s="61" t="n">
        <v>1</v>
      </c>
      <c r="AB172" s="61" t="n">
        <v>0</v>
      </c>
      <c r="AC172" s="61" t="n">
        <v>0</v>
      </c>
      <c r="AD172" s="62" t="n">
        <v>0</v>
      </c>
      <c r="AE172" s="28" t="n">
        <v>170</v>
      </c>
      <c r="AF172" s="50"/>
    </row>
    <row r="173" customFormat="false" ht="14.15" hidden="false" customHeight="false" outlineLevel="0" collapsed="false">
      <c r="A173" s="58" t="s">
        <v>394</v>
      </c>
      <c r="B173" s="46" t="s">
        <v>395</v>
      </c>
      <c r="C173" s="68" t="s">
        <v>41</v>
      </c>
      <c r="D173" s="44" t="s">
        <v>168</v>
      </c>
      <c r="E173" s="46" t="s">
        <v>119</v>
      </c>
      <c r="F173" s="46" t="n">
        <v>1</v>
      </c>
      <c r="G173" s="46" t="n">
        <v>1</v>
      </c>
      <c r="H173" s="46" t="s">
        <v>120</v>
      </c>
      <c r="I173" s="56" t="str">
        <f aca="false">A173</f>
        <v>S5.020.541</v>
      </c>
      <c r="J173" s="44"/>
      <c r="K173" s="46"/>
      <c r="L173" s="46"/>
      <c r="M173" s="60" t="n">
        <v>1</v>
      </c>
      <c r="N173" s="61" t="n">
        <v>1</v>
      </c>
      <c r="O173" s="61"/>
      <c r="P173" s="61" t="n">
        <v>0</v>
      </c>
      <c r="Q173" s="39" t="n">
        <v>1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1</v>
      </c>
      <c r="Y173" s="61" t="n">
        <v>0</v>
      </c>
      <c r="Z173" s="61" t="n">
        <v>0</v>
      </c>
      <c r="AA173" s="61" t="n">
        <v>1</v>
      </c>
      <c r="AB173" s="61" t="n">
        <v>0</v>
      </c>
      <c r="AC173" s="61" t="n">
        <v>0</v>
      </c>
      <c r="AD173" s="62" t="n">
        <v>0</v>
      </c>
      <c r="AE173" s="28" t="n">
        <v>171</v>
      </c>
      <c r="AF173" s="50"/>
    </row>
    <row r="174" customFormat="false" ht="14.15" hidden="false" customHeight="false" outlineLevel="0" collapsed="false">
      <c r="A174" s="58" t="s">
        <v>396</v>
      </c>
      <c r="B174" s="46" t="s">
        <v>397</v>
      </c>
      <c r="C174" s="68" t="s">
        <v>41</v>
      </c>
      <c r="D174" s="69" t="s">
        <v>168</v>
      </c>
      <c r="E174" s="46" t="s">
        <v>119</v>
      </c>
      <c r="F174" s="46" t="n">
        <v>4</v>
      </c>
      <c r="G174" s="46" t="n">
        <v>1</v>
      </c>
      <c r="H174" s="46" t="s">
        <v>120</v>
      </c>
      <c r="I174" s="56" t="str">
        <f aca="false">A174</f>
        <v>S5.030.505</v>
      </c>
      <c r="J174" s="69"/>
      <c r="K174" s="46"/>
      <c r="L174" s="46"/>
      <c r="M174" s="60" t="n">
        <v>1</v>
      </c>
      <c r="N174" s="61" t="n">
        <v>1</v>
      </c>
      <c r="O174" s="61"/>
      <c r="P174" s="61" t="n">
        <v>0</v>
      </c>
      <c r="Q174" s="39" t="n">
        <v>1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1</v>
      </c>
      <c r="Y174" s="61" t="n">
        <v>0</v>
      </c>
      <c r="Z174" s="61" t="n">
        <v>0</v>
      </c>
      <c r="AA174" s="61" t="n">
        <v>3</v>
      </c>
      <c r="AB174" s="61" t="n">
        <v>0</v>
      </c>
      <c r="AC174" s="61" t="n">
        <v>0</v>
      </c>
      <c r="AD174" s="62" t="n">
        <v>0</v>
      </c>
      <c r="AE174" s="39" t="n">
        <v>172</v>
      </c>
      <c r="AF174" s="50"/>
    </row>
    <row r="175" customFormat="false" ht="14.15" hidden="false" customHeight="false" outlineLevel="0" collapsed="false">
      <c r="A175" s="58" t="s">
        <v>398</v>
      </c>
      <c r="B175" s="46" t="s">
        <v>399</v>
      </c>
      <c r="C175" s="68" t="s">
        <v>41</v>
      </c>
      <c r="D175" s="44" t="s">
        <v>168</v>
      </c>
      <c r="E175" s="46" t="s">
        <v>119</v>
      </c>
      <c r="F175" s="46" t="n">
        <v>4</v>
      </c>
      <c r="G175" s="46" t="n">
        <v>1</v>
      </c>
      <c r="H175" s="46" t="s">
        <v>120</v>
      </c>
      <c r="I175" s="56" t="str">
        <f aca="false">A175</f>
        <v>S5.030.510</v>
      </c>
      <c r="J175" s="44"/>
      <c r="K175" s="46"/>
      <c r="L175" s="46"/>
      <c r="M175" s="60" t="n">
        <v>1</v>
      </c>
      <c r="N175" s="61" t="n">
        <v>1</v>
      </c>
      <c r="O175" s="61"/>
      <c r="P175" s="61" t="n">
        <v>0</v>
      </c>
      <c r="Q175" s="39" t="n">
        <v>1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1</v>
      </c>
      <c r="Y175" s="61" t="n">
        <v>0</v>
      </c>
      <c r="Z175" s="61" t="n">
        <v>0</v>
      </c>
      <c r="AA175" s="61" t="n">
        <v>1</v>
      </c>
      <c r="AB175" s="61" t="n">
        <v>0</v>
      </c>
      <c r="AC175" s="61" t="n">
        <v>0</v>
      </c>
      <c r="AD175" s="62" t="n">
        <v>0</v>
      </c>
      <c r="AE175" s="39" t="n">
        <v>173</v>
      </c>
      <c r="AF175" s="50"/>
    </row>
    <row r="176" customFormat="false" ht="14.15" hidden="false" customHeight="false" outlineLevel="0" collapsed="false">
      <c r="A176" s="58" t="s">
        <v>400</v>
      </c>
      <c r="B176" s="46" t="s">
        <v>401</v>
      </c>
      <c r="C176" s="59" t="s">
        <v>41</v>
      </c>
      <c r="D176" s="69" t="s">
        <v>168</v>
      </c>
      <c r="E176" s="46" t="s">
        <v>131</v>
      </c>
      <c r="F176" s="46" t="n">
        <v>2</v>
      </c>
      <c r="G176" s="46" t="n">
        <v>1</v>
      </c>
      <c r="H176" s="46" t="s">
        <v>132</v>
      </c>
      <c r="I176" s="45" t="s">
        <v>402</v>
      </c>
      <c r="J176" s="69"/>
      <c r="K176" s="46"/>
      <c r="L176" s="46"/>
      <c r="M176" s="60" t="n">
        <v>1</v>
      </c>
      <c r="N176" s="61" t="n">
        <v>1</v>
      </c>
      <c r="O176" s="61"/>
      <c r="P176" s="61" t="n">
        <v>0</v>
      </c>
      <c r="Q176" s="39" t="n">
        <v>1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1</v>
      </c>
      <c r="Y176" s="61" t="n">
        <v>0</v>
      </c>
      <c r="Z176" s="61" t="n">
        <v>0</v>
      </c>
      <c r="AA176" s="61" t="n">
        <v>1</v>
      </c>
      <c r="AB176" s="61" t="n">
        <v>0</v>
      </c>
      <c r="AC176" s="61" t="n">
        <v>0</v>
      </c>
      <c r="AD176" s="62" t="n">
        <v>0</v>
      </c>
      <c r="AE176" s="39" t="n">
        <v>174</v>
      </c>
      <c r="AF176" s="50"/>
    </row>
    <row r="177" customFormat="false" ht="14.15" hidden="false" customHeight="false" outlineLevel="0" collapsed="false">
      <c r="A177" s="58" t="s">
        <v>403</v>
      </c>
      <c r="B177" s="46" t="s">
        <v>404</v>
      </c>
      <c r="C177" s="59" t="s">
        <v>41</v>
      </c>
      <c r="D177" s="44" t="s">
        <v>168</v>
      </c>
      <c r="E177" s="46" t="s">
        <v>131</v>
      </c>
      <c r="F177" s="46" t="n">
        <v>3</v>
      </c>
      <c r="G177" s="46" t="n">
        <v>1</v>
      </c>
      <c r="H177" s="46" t="s">
        <v>132</v>
      </c>
      <c r="I177" s="56" t="str">
        <f aca="false">A177</f>
        <v>S6.020.604</v>
      </c>
      <c r="J177" s="44"/>
      <c r="K177" s="46"/>
      <c r="L177" s="46"/>
      <c r="M177" s="60" t="n">
        <v>1</v>
      </c>
      <c r="N177" s="61" t="n">
        <v>3</v>
      </c>
      <c r="O177" s="61"/>
      <c r="P177" s="61" t="n">
        <v>0</v>
      </c>
      <c r="Q177" s="61" t="n">
        <v>3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1</v>
      </c>
      <c r="Y177" s="61" t="n">
        <v>0</v>
      </c>
      <c r="Z177" s="61" t="n">
        <v>0</v>
      </c>
      <c r="AA177" s="61" t="n">
        <v>2</v>
      </c>
      <c r="AB177" s="61" t="n">
        <v>0</v>
      </c>
      <c r="AC177" s="61" t="n">
        <v>0</v>
      </c>
      <c r="AD177" s="62" t="n">
        <v>0</v>
      </c>
      <c r="AE177" s="28" t="n">
        <v>175</v>
      </c>
      <c r="AF177" s="50"/>
    </row>
    <row r="178" customFormat="false" ht="14.15" hidden="false" customHeight="false" outlineLevel="0" collapsed="false">
      <c r="A178" s="58" t="s">
        <v>405</v>
      </c>
      <c r="B178" s="46" t="s">
        <v>406</v>
      </c>
      <c r="C178" s="68" t="s">
        <v>41</v>
      </c>
      <c r="D178" s="69" t="s">
        <v>168</v>
      </c>
      <c r="E178" s="46" t="s">
        <v>131</v>
      </c>
      <c r="F178" s="46" t="n">
        <v>3</v>
      </c>
      <c r="G178" s="46" t="n">
        <v>1</v>
      </c>
      <c r="H178" s="46" t="s">
        <v>132</v>
      </c>
      <c r="I178" s="56" t="str">
        <f aca="false">A178</f>
        <v>S6.020.605</v>
      </c>
      <c r="J178" s="69"/>
      <c r="K178" s="46"/>
      <c r="L178" s="46"/>
      <c r="M178" s="60" t="n">
        <v>1</v>
      </c>
      <c r="N178" s="61" t="n">
        <v>1</v>
      </c>
      <c r="O178" s="61"/>
      <c r="P178" s="61" t="n">
        <v>0</v>
      </c>
      <c r="Q178" s="39" t="n">
        <v>1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1</v>
      </c>
      <c r="Y178" s="61" t="n">
        <v>0</v>
      </c>
      <c r="Z178" s="61" t="n">
        <v>0</v>
      </c>
      <c r="AA178" s="61" t="n">
        <v>1</v>
      </c>
      <c r="AB178" s="61" t="n">
        <v>0</v>
      </c>
      <c r="AC178" s="61" t="n">
        <v>0</v>
      </c>
      <c r="AD178" s="62" t="n">
        <v>0</v>
      </c>
      <c r="AE178" s="28" t="n">
        <v>176</v>
      </c>
      <c r="AF178" s="50"/>
    </row>
    <row r="179" customFormat="false" ht="14.15" hidden="false" customHeight="false" outlineLevel="0" collapsed="false">
      <c r="A179" s="58" t="s">
        <v>407</v>
      </c>
      <c r="B179" s="46" t="s">
        <v>408</v>
      </c>
      <c r="C179" s="68" t="s">
        <v>41</v>
      </c>
      <c r="D179" s="44" t="s">
        <v>168</v>
      </c>
      <c r="E179" s="46" t="s">
        <v>131</v>
      </c>
      <c r="F179" s="46" t="n">
        <v>3</v>
      </c>
      <c r="G179" s="46" t="n">
        <v>1</v>
      </c>
      <c r="H179" s="46" t="s">
        <v>132</v>
      </c>
      <c r="I179" s="56" t="str">
        <f aca="false">A179</f>
        <v>S6.020.606</v>
      </c>
      <c r="J179" s="44"/>
      <c r="K179" s="46"/>
      <c r="L179" s="46"/>
      <c r="M179" s="60" t="n">
        <v>1</v>
      </c>
      <c r="N179" s="61" t="n">
        <v>1</v>
      </c>
      <c r="O179" s="61"/>
      <c r="P179" s="61" t="n">
        <v>0</v>
      </c>
      <c r="Q179" s="39" t="n">
        <v>1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2</v>
      </c>
      <c r="Y179" s="61" t="n">
        <v>0</v>
      </c>
      <c r="Z179" s="61" t="n">
        <v>0</v>
      </c>
      <c r="AA179" s="61" t="n">
        <v>1</v>
      </c>
      <c r="AB179" s="61" t="n">
        <v>0</v>
      </c>
      <c r="AC179" s="61" t="n">
        <v>0</v>
      </c>
      <c r="AD179" s="62" t="n">
        <v>0</v>
      </c>
      <c r="AE179" s="39" t="n">
        <v>177</v>
      </c>
      <c r="AF179" s="50"/>
    </row>
    <row r="180" customFormat="false" ht="14.15" hidden="false" customHeight="false" outlineLevel="0" collapsed="false">
      <c r="A180" s="58" t="s">
        <v>409</v>
      </c>
      <c r="B180" s="46" t="s">
        <v>410</v>
      </c>
      <c r="C180" s="68" t="s">
        <v>41</v>
      </c>
      <c r="D180" s="69" t="s">
        <v>168</v>
      </c>
      <c r="E180" s="46" t="s">
        <v>131</v>
      </c>
      <c r="F180" s="46" t="n">
        <v>3</v>
      </c>
      <c r="G180" s="46" t="n">
        <v>1</v>
      </c>
      <c r="H180" s="46" t="s">
        <v>132</v>
      </c>
      <c r="I180" s="56" t="str">
        <f aca="false">A180</f>
        <v>S6.020.610</v>
      </c>
      <c r="J180" s="69"/>
      <c r="K180" s="46"/>
      <c r="L180" s="46"/>
      <c r="M180" s="60" t="n">
        <v>1</v>
      </c>
      <c r="N180" s="61" t="n">
        <v>1</v>
      </c>
      <c r="O180" s="61"/>
      <c r="P180" s="61" t="n">
        <v>0</v>
      </c>
      <c r="Q180" s="39" t="n">
        <v>1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1</v>
      </c>
      <c r="Y180" s="61" t="n">
        <v>0</v>
      </c>
      <c r="Z180" s="61" t="n">
        <v>0</v>
      </c>
      <c r="AA180" s="61" t="n">
        <v>1</v>
      </c>
      <c r="AB180" s="61" t="n">
        <v>0</v>
      </c>
      <c r="AC180" s="61" t="n">
        <v>0</v>
      </c>
      <c r="AD180" s="62" t="n">
        <v>0</v>
      </c>
      <c r="AE180" s="39" t="n">
        <v>178</v>
      </c>
      <c r="AF180" s="50"/>
    </row>
    <row r="181" customFormat="false" ht="15" hidden="false" customHeight="true" outlineLevel="0" collapsed="false">
      <c r="A181" s="58" t="s">
        <v>411</v>
      </c>
      <c r="B181" s="46" t="s">
        <v>412</v>
      </c>
      <c r="C181" s="59" t="s">
        <v>41</v>
      </c>
      <c r="D181" s="44" t="s">
        <v>168</v>
      </c>
      <c r="E181" s="46" t="s">
        <v>131</v>
      </c>
      <c r="F181" s="46" t="n">
        <v>3</v>
      </c>
      <c r="G181" s="46" t="n">
        <v>1</v>
      </c>
      <c r="H181" s="46" t="s">
        <v>132</v>
      </c>
      <c r="I181" s="56" t="str">
        <f aca="false">A181</f>
        <v>S6.020.611</v>
      </c>
      <c r="J181" s="44"/>
      <c r="K181" s="46"/>
      <c r="L181" s="46"/>
      <c r="M181" s="60" t="n">
        <v>1</v>
      </c>
      <c r="N181" s="61" t="n">
        <v>2</v>
      </c>
      <c r="O181" s="61"/>
      <c r="P181" s="61" t="n">
        <v>0</v>
      </c>
      <c r="Q181" s="61" t="n">
        <v>2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1</v>
      </c>
      <c r="Y181" s="61" t="n">
        <v>0</v>
      </c>
      <c r="Z181" s="61" t="n">
        <v>0</v>
      </c>
      <c r="AA181" s="61" t="n">
        <v>1</v>
      </c>
      <c r="AB181" s="61" t="n">
        <v>0</v>
      </c>
      <c r="AC181" s="61" t="n">
        <v>0</v>
      </c>
      <c r="AD181" s="62" t="n">
        <v>0</v>
      </c>
      <c r="AE181" s="39" t="n">
        <v>179</v>
      </c>
      <c r="AF181" s="50"/>
    </row>
    <row r="182" customFormat="false" ht="15" hidden="false" customHeight="true" outlineLevel="0" collapsed="false">
      <c r="A182" s="58" t="s">
        <v>413</v>
      </c>
      <c r="B182" s="46" t="s">
        <v>414</v>
      </c>
      <c r="C182" s="59" t="s">
        <v>41</v>
      </c>
      <c r="D182" s="69" t="s">
        <v>168</v>
      </c>
      <c r="E182" s="46" t="s">
        <v>131</v>
      </c>
      <c r="F182" s="46" t="n">
        <v>2</v>
      </c>
      <c r="G182" s="46" t="n">
        <v>1</v>
      </c>
      <c r="H182" s="46" t="s">
        <v>132</v>
      </c>
      <c r="I182" s="56" t="str">
        <f aca="false">A182</f>
        <v>S6.020.615</v>
      </c>
      <c r="J182" s="69"/>
      <c r="K182" s="46"/>
      <c r="L182" s="46"/>
      <c r="M182" s="60" t="n">
        <v>1</v>
      </c>
      <c r="N182" s="61" t="n">
        <v>1</v>
      </c>
      <c r="O182" s="61"/>
      <c r="P182" s="61" t="n">
        <v>0</v>
      </c>
      <c r="Q182" s="39" t="n">
        <v>1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1</v>
      </c>
      <c r="Y182" s="61" t="n">
        <v>0</v>
      </c>
      <c r="Z182" s="61" t="n">
        <v>0</v>
      </c>
      <c r="AA182" s="61" t="n">
        <v>1</v>
      </c>
      <c r="AB182" s="61" t="n">
        <v>0</v>
      </c>
      <c r="AC182" s="61" t="n">
        <v>0</v>
      </c>
      <c r="AD182" s="62" t="n">
        <v>0</v>
      </c>
      <c r="AE182" s="28" t="n">
        <v>180</v>
      </c>
      <c r="AF182" s="50"/>
    </row>
    <row r="183" customFormat="false" ht="14.15" hidden="false" customHeight="false" outlineLevel="0" collapsed="false">
      <c r="A183" s="58" t="s">
        <v>415</v>
      </c>
      <c r="B183" s="46" t="s">
        <v>416</v>
      </c>
      <c r="C183" s="68" t="s">
        <v>41</v>
      </c>
      <c r="D183" s="44" t="s">
        <v>168</v>
      </c>
      <c r="E183" s="46" t="s">
        <v>131</v>
      </c>
      <c r="F183" s="46" t="n">
        <v>2</v>
      </c>
      <c r="G183" s="42" t="n">
        <v>1</v>
      </c>
      <c r="H183" s="46" t="s">
        <v>132</v>
      </c>
      <c r="I183" s="56" t="str">
        <f aca="false">A183</f>
        <v>S6.020.619</v>
      </c>
      <c r="J183" s="44"/>
      <c r="K183" s="46"/>
      <c r="L183" s="46"/>
      <c r="M183" s="60" t="n">
        <v>1</v>
      </c>
      <c r="N183" s="61" t="n">
        <v>1</v>
      </c>
      <c r="O183" s="61"/>
      <c r="P183" s="61" t="n">
        <v>0</v>
      </c>
      <c r="Q183" s="39" t="n">
        <v>1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1</v>
      </c>
      <c r="Y183" s="61" t="n">
        <v>0</v>
      </c>
      <c r="Z183" s="61" t="n">
        <v>0</v>
      </c>
      <c r="AA183" s="61" t="n">
        <v>1</v>
      </c>
      <c r="AB183" s="61" t="n">
        <v>0</v>
      </c>
      <c r="AC183" s="61" t="n">
        <v>0</v>
      </c>
      <c r="AD183" s="62" t="n">
        <v>0</v>
      </c>
      <c r="AE183" s="28" t="n">
        <v>181</v>
      </c>
      <c r="AF183" s="50"/>
    </row>
    <row r="184" customFormat="false" ht="14.15" hidden="false" customHeight="false" outlineLevel="0" collapsed="false">
      <c r="A184" s="58" t="s">
        <v>417</v>
      </c>
      <c r="B184" s="46" t="s">
        <v>418</v>
      </c>
      <c r="C184" s="68" t="s">
        <v>41</v>
      </c>
      <c r="D184" s="69" t="s">
        <v>168</v>
      </c>
      <c r="E184" s="46" t="s">
        <v>131</v>
      </c>
      <c r="F184" s="46" t="n">
        <v>1</v>
      </c>
      <c r="G184" s="67" t="n">
        <v>1</v>
      </c>
      <c r="H184" s="46" t="s">
        <v>132</v>
      </c>
      <c r="I184" s="56" t="str">
        <f aca="false">A184</f>
        <v>S6.020.634</v>
      </c>
      <c r="J184" s="69"/>
      <c r="K184" s="46"/>
      <c r="L184" s="46"/>
      <c r="M184" s="60" t="n">
        <v>1</v>
      </c>
      <c r="N184" s="61" t="n">
        <v>1</v>
      </c>
      <c r="O184" s="61"/>
      <c r="P184" s="61" t="n">
        <v>0</v>
      </c>
      <c r="Q184" s="39" t="n">
        <v>1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1</v>
      </c>
      <c r="Y184" s="61" t="n">
        <v>0</v>
      </c>
      <c r="Z184" s="61" t="n">
        <v>0</v>
      </c>
      <c r="AA184" s="61" t="n">
        <v>1</v>
      </c>
      <c r="AB184" s="61" t="n">
        <v>0</v>
      </c>
      <c r="AC184" s="61" t="n">
        <v>0</v>
      </c>
      <c r="AD184" s="62" t="n">
        <v>0</v>
      </c>
      <c r="AE184" s="39" t="n">
        <v>182</v>
      </c>
      <c r="AF184" s="50"/>
    </row>
    <row r="185" customFormat="false" ht="15" hidden="false" customHeight="true" outlineLevel="0" collapsed="false">
      <c r="A185" s="58" t="s">
        <v>419</v>
      </c>
      <c r="B185" s="46" t="s">
        <v>420</v>
      </c>
      <c r="C185" s="68" t="s">
        <v>41</v>
      </c>
      <c r="D185" s="44" t="s">
        <v>168</v>
      </c>
      <c r="E185" s="46" t="s">
        <v>131</v>
      </c>
      <c r="F185" s="46" t="n">
        <v>1</v>
      </c>
      <c r="G185" s="46" t="n">
        <v>1</v>
      </c>
      <c r="H185" s="46"/>
      <c r="I185" s="45" t="s">
        <v>421</v>
      </c>
      <c r="J185" s="44"/>
      <c r="K185" s="46"/>
      <c r="L185" s="46"/>
      <c r="M185" s="60" t="n">
        <v>1</v>
      </c>
      <c r="N185" s="61" t="n">
        <v>1</v>
      </c>
      <c r="O185" s="61"/>
      <c r="P185" s="61" t="n">
        <v>0</v>
      </c>
      <c r="Q185" s="39" t="n">
        <v>1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0</v>
      </c>
      <c r="W185" s="61" t="n">
        <v>0</v>
      </c>
      <c r="X185" s="61" t="n">
        <v>1</v>
      </c>
      <c r="Y185" s="61" t="n">
        <v>0</v>
      </c>
      <c r="Z185" s="61" t="n">
        <v>0</v>
      </c>
      <c r="AA185" s="61" t="n">
        <v>1</v>
      </c>
      <c r="AB185" s="61" t="n">
        <v>0</v>
      </c>
      <c r="AC185" s="61" t="n">
        <v>0</v>
      </c>
      <c r="AD185" s="62" t="n">
        <v>0</v>
      </c>
      <c r="AE185" s="39" t="n">
        <v>183</v>
      </c>
      <c r="AF185" s="50"/>
    </row>
    <row r="186" customFormat="false" ht="15" hidden="false" customHeight="true" outlineLevel="0" collapsed="false">
      <c r="A186" s="58" t="s">
        <v>421</v>
      </c>
      <c r="B186" s="46" t="s">
        <v>422</v>
      </c>
      <c r="C186" s="59" t="s">
        <v>41</v>
      </c>
      <c r="D186" s="69" t="s">
        <v>168</v>
      </c>
      <c r="E186" s="46" t="s">
        <v>131</v>
      </c>
      <c r="F186" s="46" t="n">
        <v>1</v>
      </c>
      <c r="G186" s="46" t="n">
        <v>1</v>
      </c>
      <c r="H186" s="46" t="s">
        <v>132</v>
      </c>
      <c r="I186" s="56" t="str">
        <f aca="false">A186</f>
        <v>S6.020.637</v>
      </c>
      <c r="J186" s="69"/>
      <c r="K186" s="46"/>
      <c r="L186" s="46"/>
      <c r="M186" s="60" t="n">
        <v>1</v>
      </c>
      <c r="N186" s="61" t="n">
        <v>3</v>
      </c>
      <c r="O186" s="61"/>
      <c r="P186" s="61" t="n">
        <v>0</v>
      </c>
      <c r="Q186" s="61" t="n">
        <v>3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3</v>
      </c>
      <c r="Y186" s="61" t="n">
        <v>0</v>
      </c>
      <c r="Z186" s="61" t="n">
        <v>0</v>
      </c>
      <c r="AA186" s="61" t="n">
        <v>3</v>
      </c>
      <c r="AB186" s="61" t="n">
        <v>0</v>
      </c>
      <c r="AC186" s="61" t="n">
        <v>0</v>
      </c>
      <c r="AD186" s="62" t="n">
        <v>0</v>
      </c>
      <c r="AE186" s="39" t="n">
        <v>184</v>
      </c>
      <c r="AF186" s="50"/>
    </row>
    <row r="187" customFormat="false" ht="14.15" hidden="false" customHeight="false" outlineLevel="0" collapsed="false">
      <c r="A187" s="58" t="s">
        <v>423</v>
      </c>
      <c r="B187" s="46" t="s">
        <v>424</v>
      </c>
      <c r="C187" s="59" t="s">
        <v>41</v>
      </c>
      <c r="D187" s="44" t="s">
        <v>168</v>
      </c>
      <c r="E187" s="46" t="s">
        <v>131</v>
      </c>
      <c r="F187" s="46" t="n">
        <v>1</v>
      </c>
      <c r="G187" s="46" t="n">
        <v>1</v>
      </c>
      <c r="H187" s="46"/>
      <c r="I187" s="45" t="s">
        <v>421</v>
      </c>
      <c r="J187" s="44"/>
      <c r="K187" s="46"/>
      <c r="L187" s="46"/>
      <c r="M187" s="60" t="n">
        <v>1</v>
      </c>
      <c r="N187" s="61" t="n">
        <v>1</v>
      </c>
      <c r="O187" s="61"/>
      <c r="P187" s="61" t="n">
        <v>0</v>
      </c>
      <c r="Q187" s="39" t="n">
        <v>1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1</v>
      </c>
      <c r="Y187" s="61" t="n">
        <v>0</v>
      </c>
      <c r="Z187" s="61" t="n">
        <v>0</v>
      </c>
      <c r="AA187" s="61" t="n">
        <v>1</v>
      </c>
      <c r="AB187" s="61" t="n">
        <v>0</v>
      </c>
      <c r="AC187" s="61" t="n">
        <v>0</v>
      </c>
      <c r="AD187" s="62" t="n">
        <v>0</v>
      </c>
      <c r="AE187" s="28" t="n">
        <v>185</v>
      </c>
      <c r="AF187" s="50"/>
    </row>
    <row r="188" customFormat="false" ht="14.15" hidden="false" customHeight="false" outlineLevel="0" collapsed="false">
      <c r="A188" s="58" t="s">
        <v>425</v>
      </c>
      <c r="B188" s="46" t="s">
        <v>426</v>
      </c>
      <c r="C188" s="68" t="s">
        <v>41</v>
      </c>
      <c r="D188" s="69" t="s">
        <v>168</v>
      </c>
      <c r="E188" s="46" t="s">
        <v>131</v>
      </c>
      <c r="F188" s="46" t="n">
        <v>1</v>
      </c>
      <c r="G188" s="46" t="n">
        <v>1</v>
      </c>
      <c r="H188" s="46"/>
      <c r="I188" s="45" t="s">
        <v>421</v>
      </c>
      <c r="J188" s="69"/>
      <c r="K188" s="46"/>
      <c r="L188" s="46"/>
      <c r="M188" s="60" t="n">
        <v>1</v>
      </c>
      <c r="N188" s="61" t="n">
        <v>1</v>
      </c>
      <c r="O188" s="61"/>
      <c r="P188" s="61" t="n">
        <v>0</v>
      </c>
      <c r="Q188" s="39" t="n">
        <v>1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1</v>
      </c>
      <c r="Y188" s="61" t="n">
        <v>0</v>
      </c>
      <c r="Z188" s="61" t="n">
        <v>0</v>
      </c>
      <c r="AA188" s="61" t="n">
        <v>1</v>
      </c>
      <c r="AB188" s="61" t="n">
        <v>0</v>
      </c>
      <c r="AC188" s="61" t="n">
        <v>0</v>
      </c>
      <c r="AD188" s="62" t="n">
        <v>0</v>
      </c>
      <c r="AE188" s="28" t="n">
        <v>186</v>
      </c>
      <c r="AF188" s="50"/>
    </row>
    <row r="189" customFormat="false" ht="14.15" hidden="false" customHeight="false" outlineLevel="0" collapsed="false">
      <c r="A189" s="58" t="s">
        <v>427</v>
      </c>
      <c r="B189" s="46" t="s">
        <v>428</v>
      </c>
      <c r="C189" s="68" t="s">
        <v>41</v>
      </c>
      <c r="D189" s="44" t="s">
        <v>168</v>
      </c>
      <c r="E189" s="46" t="s">
        <v>131</v>
      </c>
      <c r="F189" s="46" t="n">
        <v>1</v>
      </c>
      <c r="G189" s="46" t="n">
        <v>1</v>
      </c>
      <c r="H189" s="46" t="s">
        <v>132</v>
      </c>
      <c r="I189" s="56" t="str">
        <f aca="false">A189</f>
        <v>S6.020.641</v>
      </c>
      <c r="J189" s="44"/>
      <c r="K189" s="46"/>
      <c r="L189" s="46"/>
      <c r="M189" s="60" t="n">
        <v>1</v>
      </c>
      <c r="N189" s="61" t="n">
        <v>1</v>
      </c>
      <c r="O189" s="61"/>
      <c r="P189" s="61" t="n">
        <v>0</v>
      </c>
      <c r="Q189" s="39" t="n">
        <v>1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1</v>
      </c>
      <c r="Y189" s="61" t="n">
        <v>0</v>
      </c>
      <c r="Z189" s="61" t="n">
        <v>0</v>
      </c>
      <c r="AA189" s="61" t="n">
        <v>1</v>
      </c>
      <c r="AB189" s="61" t="n">
        <v>0</v>
      </c>
      <c r="AC189" s="61" t="n">
        <v>0</v>
      </c>
      <c r="AD189" s="62" t="n">
        <v>0</v>
      </c>
      <c r="AE189" s="39" t="n">
        <v>187</v>
      </c>
      <c r="AF189" s="50"/>
    </row>
    <row r="190" customFormat="false" ht="14.15" hidden="false" customHeight="false" outlineLevel="0" collapsed="false">
      <c r="A190" s="58" t="s">
        <v>429</v>
      </c>
      <c r="B190" s="46" t="s">
        <v>430</v>
      </c>
      <c r="C190" s="68" t="s">
        <v>41</v>
      </c>
      <c r="D190" s="69" t="s">
        <v>168</v>
      </c>
      <c r="E190" s="46" t="s">
        <v>131</v>
      </c>
      <c r="F190" s="46" t="n">
        <v>4</v>
      </c>
      <c r="G190" s="46" t="n">
        <v>1</v>
      </c>
      <c r="H190" s="46" t="s">
        <v>132</v>
      </c>
      <c r="I190" s="56" t="str">
        <f aca="false">A190</f>
        <v>S6.030.605</v>
      </c>
      <c r="J190" s="69"/>
      <c r="K190" s="46"/>
      <c r="L190" s="46"/>
      <c r="M190" s="60" t="n">
        <v>1</v>
      </c>
      <c r="N190" s="61" t="n">
        <v>1</v>
      </c>
      <c r="O190" s="61"/>
      <c r="P190" s="61" t="n">
        <v>0</v>
      </c>
      <c r="Q190" s="39" t="n">
        <v>1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1</v>
      </c>
      <c r="Y190" s="61" t="n">
        <v>0</v>
      </c>
      <c r="Z190" s="61" t="n">
        <v>0</v>
      </c>
      <c r="AA190" s="61" t="n">
        <v>3</v>
      </c>
      <c r="AB190" s="61" t="n">
        <v>0</v>
      </c>
      <c r="AC190" s="61" t="n">
        <v>0</v>
      </c>
      <c r="AD190" s="62" t="n">
        <v>0</v>
      </c>
      <c r="AE190" s="39" t="n">
        <v>188</v>
      </c>
      <c r="AF190" s="50"/>
    </row>
    <row r="191" customFormat="false" ht="14.15" hidden="false" customHeight="false" outlineLevel="0" collapsed="false">
      <c r="A191" s="58" t="s">
        <v>431</v>
      </c>
      <c r="B191" s="46" t="s">
        <v>432</v>
      </c>
      <c r="C191" s="59" t="s">
        <v>41</v>
      </c>
      <c r="D191" s="44" t="s">
        <v>168</v>
      </c>
      <c r="E191" s="46" t="s">
        <v>131</v>
      </c>
      <c r="F191" s="46" t="n">
        <v>4</v>
      </c>
      <c r="G191" s="46" t="n">
        <v>1</v>
      </c>
      <c r="H191" s="46" t="s">
        <v>132</v>
      </c>
      <c r="I191" s="56" t="str">
        <f aca="false">A191</f>
        <v>S6.030.610</v>
      </c>
      <c r="J191" s="44"/>
      <c r="K191" s="46"/>
      <c r="L191" s="46"/>
      <c r="M191" s="60" t="n">
        <v>1</v>
      </c>
      <c r="N191" s="61" t="n">
        <v>1</v>
      </c>
      <c r="O191" s="61"/>
      <c r="P191" s="61" t="n">
        <v>0</v>
      </c>
      <c r="Q191" s="39" t="n">
        <v>1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1</v>
      </c>
      <c r="Y191" s="61" t="n">
        <v>0</v>
      </c>
      <c r="Z191" s="61" t="n">
        <v>0</v>
      </c>
      <c r="AA191" s="61" t="n">
        <v>1</v>
      </c>
      <c r="AB191" s="61" t="n">
        <v>0</v>
      </c>
      <c r="AC191" s="61" t="n">
        <v>0</v>
      </c>
      <c r="AD191" s="62" t="n">
        <v>0</v>
      </c>
      <c r="AE191" s="39" t="n">
        <v>189</v>
      </c>
      <c r="AF191" s="50"/>
    </row>
    <row r="192" customFormat="false" ht="14.15" hidden="false" customHeight="false" outlineLevel="0" collapsed="false">
      <c r="A192" s="58" t="s">
        <v>433</v>
      </c>
      <c r="B192" s="46" t="s">
        <v>434</v>
      </c>
      <c r="C192" s="59" t="s">
        <v>41</v>
      </c>
      <c r="D192" s="69" t="s">
        <v>168</v>
      </c>
      <c r="E192" s="46" t="s">
        <v>143</v>
      </c>
      <c r="F192" s="46" t="n">
        <v>2</v>
      </c>
      <c r="G192" s="46" t="n">
        <v>1</v>
      </c>
      <c r="H192" s="46" t="s">
        <v>144</v>
      </c>
      <c r="I192" s="45" t="s">
        <v>435</v>
      </c>
      <c r="J192" s="69"/>
      <c r="K192" s="46"/>
      <c r="L192" s="46"/>
      <c r="M192" s="60" t="n">
        <v>1</v>
      </c>
      <c r="N192" s="61" t="n">
        <v>1</v>
      </c>
      <c r="O192" s="61"/>
      <c r="P192" s="61" t="n">
        <v>0</v>
      </c>
      <c r="Q192" s="39" t="n">
        <v>1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1</v>
      </c>
      <c r="Y192" s="61" t="n">
        <v>0</v>
      </c>
      <c r="Z192" s="61" t="n">
        <v>0</v>
      </c>
      <c r="AA192" s="61" t="n">
        <v>1</v>
      </c>
      <c r="AB192" s="61" t="n">
        <v>0</v>
      </c>
      <c r="AC192" s="61" t="n">
        <v>0</v>
      </c>
      <c r="AD192" s="62" t="n">
        <v>0</v>
      </c>
      <c r="AE192" s="28" t="n">
        <v>190</v>
      </c>
      <c r="AF192" s="50"/>
    </row>
    <row r="193" customFormat="false" ht="14.15" hidden="false" customHeight="false" outlineLevel="0" collapsed="false">
      <c r="A193" s="58" t="s">
        <v>436</v>
      </c>
      <c r="B193" s="46" t="s">
        <v>437</v>
      </c>
      <c r="C193" s="68" t="s">
        <v>41</v>
      </c>
      <c r="D193" s="44" t="s">
        <v>168</v>
      </c>
      <c r="E193" s="46" t="s">
        <v>143</v>
      </c>
      <c r="F193" s="46" t="n">
        <v>3</v>
      </c>
      <c r="G193" s="46" t="n">
        <v>1</v>
      </c>
      <c r="H193" s="46" t="s">
        <v>144</v>
      </c>
      <c r="I193" s="56" t="str">
        <f aca="false">A193</f>
        <v>S7.020.704</v>
      </c>
      <c r="J193" s="44"/>
      <c r="K193" s="46"/>
      <c r="L193" s="46"/>
      <c r="M193" s="60" t="n">
        <v>1</v>
      </c>
      <c r="N193" s="61" t="n">
        <v>3</v>
      </c>
      <c r="O193" s="61"/>
      <c r="P193" s="61" t="n">
        <v>0</v>
      </c>
      <c r="Q193" s="61" t="n">
        <v>3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2</v>
      </c>
      <c r="Y193" s="61" t="n">
        <v>0</v>
      </c>
      <c r="Z193" s="61" t="n">
        <v>0</v>
      </c>
      <c r="AA193" s="61" t="n">
        <v>2</v>
      </c>
      <c r="AB193" s="61" t="n">
        <v>0</v>
      </c>
      <c r="AC193" s="61" t="n">
        <v>0</v>
      </c>
      <c r="AD193" s="62" t="n">
        <v>0</v>
      </c>
      <c r="AE193" s="28" t="n">
        <v>191</v>
      </c>
      <c r="AF193" s="50"/>
    </row>
    <row r="194" customFormat="false" ht="15" hidden="false" customHeight="true" outlineLevel="0" collapsed="false">
      <c r="A194" s="58" t="s">
        <v>438</v>
      </c>
      <c r="B194" s="46" t="s">
        <v>439</v>
      </c>
      <c r="C194" s="68" t="s">
        <v>41</v>
      </c>
      <c r="D194" s="69" t="s">
        <v>168</v>
      </c>
      <c r="E194" s="46" t="s">
        <v>143</v>
      </c>
      <c r="F194" s="46" t="n">
        <v>3</v>
      </c>
      <c r="G194" s="46" t="n">
        <v>1</v>
      </c>
      <c r="H194" s="46" t="s">
        <v>144</v>
      </c>
      <c r="I194" s="56" t="str">
        <f aca="false">A194</f>
        <v>S7.020.705</v>
      </c>
      <c r="J194" s="69"/>
      <c r="K194" s="46"/>
      <c r="L194" s="46"/>
      <c r="M194" s="60" t="n">
        <v>1</v>
      </c>
      <c r="N194" s="61" t="n">
        <v>1</v>
      </c>
      <c r="O194" s="61"/>
      <c r="P194" s="61" t="n">
        <v>0</v>
      </c>
      <c r="Q194" s="39" t="n">
        <v>1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1</v>
      </c>
      <c r="Y194" s="61" t="n">
        <v>0</v>
      </c>
      <c r="Z194" s="61" t="n">
        <v>0</v>
      </c>
      <c r="AA194" s="61" t="n">
        <v>1</v>
      </c>
      <c r="AB194" s="61" t="n">
        <v>0</v>
      </c>
      <c r="AC194" s="61" t="n">
        <v>0</v>
      </c>
      <c r="AD194" s="62" t="n">
        <v>0</v>
      </c>
      <c r="AE194" s="39" t="n">
        <v>192</v>
      </c>
      <c r="AF194" s="50"/>
    </row>
    <row r="195" customFormat="false" ht="15" hidden="false" customHeight="true" outlineLevel="0" collapsed="false">
      <c r="A195" s="58" t="s">
        <v>440</v>
      </c>
      <c r="B195" s="46" t="s">
        <v>441</v>
      </c>
      <c r="C195" s="68" t="s">
        <v>41</v>
      </c>
      <c r="D195" s="44" t="s">
        <v>168</v>
      </c>
      <c r="E195" s="46" t="s">
        <v>143</v>
      </c>
      <c r="F195" s="46" t="n">
        <v>3</v>
      </c>
      <c r="G195" s="46" t="n">
        <v>1</v>
      </c>
      <c r="H195" s="46" t="s">
        <v>144</v>
      </c>
      <c r="I195" s="56" t="str">
        <f aca="false">A195</f>
        <v>S7.020.706</v>
      </c>
      <c r="J195" s="44"/>
      <c r="K195" s="46"/>
      <c r="L195" s="46"/>
      <c r="M195" s="60" t="n">
        <v>1</v>
      </c>
      <c r="N195" s="61" t="n">
        <v>1</v>
      </c>
      <c r="O195" s="61"/>
      <c r="P195" s="61" t="n">
        <v>0</v>
      </c>
      <c r="Q195" s="39" t="n">
        <v>1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1</v>
      </c>
      <c r="Y195" s="61" t="n">
        <v>0</v>
      </c>
      <c r="Z195" s="61" t="n">
        <v>0</v>
      </c>
      <c r="AA195" s="61" t="n">
        <v>1</v>
      </c>
      <c r="AB195" s="61" t="n">
        <v>0</v>
      </c>
      <c r="AC195" s="61" t="n">
        <v>0</v>
      </c>
      <c r="AD195" s="62" t="n">
        <v>0</v>
      </c>
      <c r="AE195" s="39" t="n">
        <v>193</v>
      </c>
      <c r="AF195" s="50"/>
    </row>
    <row r="196" customFormat="false" ht="15" hidden="false" customHeight="true" outlineLevel="0" collapsed="false">
      <c r="A196" s="58" t="s">
        <v>442</v>
      </c>
      <c r="B196" s="46" t="s">
        <v>443</v>
      </c>
      <c r="C196" s="59" t="s">
        <v>41</v>
      </c>
      <c r="D196" s="69" t="s">
        <v>168</v>
      </c>
      <c r="E196" s="46" t="s">
        <v>143</v>
      </c>
      <c r="F196" s="46" t="n">
        <v>3</v>
      </c>
      <c r="G196" s="46" t="n">
        <v>1</v>
      </c>
      <c r="H196" s="46" t="s">
        <v>144</v>
      </c>
      <c r="I196" s="56" t="str">
        <f aca="false">A196</f>
        <v>S7.020.710</v>
      </c>
      <c r="J196" s="69"/>
      <c r="K196" s="46"/>
      <c r="L196" s="46"/>
      <c r="M196" s="60" t="n">
        <v>1</v>
      </c>
      <c r="N196" s="61" t="n">
        <v>1</v>
      </c>
      <c r="O196" s="61"/>
      <c r="P196" s="61" t="n">
        <v>0</v>
      </c>
      <c r="Q196" s="39" t="n">
        <v>1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1</v>
      </c>
      <c r="Y196" s="61" t="n">
        <v>0</v>
      </c>
      <c r="Z196" s="61" t="n">
        <v>0</v>
      </c>
      <c r="AA196" s="61" t="n">
        <v>1</v>
      </c>
      <c r="AB196" s="61" t="n">
        <v>0</v>
      </c>
      <c r="AC196" s="61" t="n">
        <v>0</v>
      </c>
      <c r="AD196" s="62" t="n">
        <v>0</v>
      </c>
      <c r="AE196" s="39" t="n">
        <v>194</v>
      </c>
      <c r="AF196" s="50"/>
    </row>
    <row r="197" customFormat="false" ht="15" hidden="false" customHeight="true" outlineLevel="0" collapsed="false">
      <c r="A197" s="58" t="s">
        <v>444</v>
      </c>
      <c r="B197" s="46" t="s">
        <v>445</v>
      </c>
      <c r="C197" s="59" t="s">
        <v>41</v>
      </c>
      <c r="D197" s="44" t="s">
        <v>168</v>
      </c>
      <c r="E197" s="46" t="s">
        <v>143</v>
      </c>
      <c r="F197" s="46" t="n">
        <v>3</v>
      </c>
      <c r="G197" s="42" t="n">
        <v>1</v>
      </c>
      <c r="H197" s="46" t="s">
        <v>144</v>
      </c>
      <c r="I197" s="56" t="str">
        <f aca="false">A197</f>
        <v>S7.020.711</v>
      </c>
      <c r="J197" s="44"/>
      <c r="K197" s="46"/>
      <c r="L197" s="46"/>
      <c r="M197" s="60" t="n">
        <v>1</v>
      </c>
      <c r="N197" s="61" t="n">
        <v>2</v>
      </c>
      <c r="O197" s="61"/>
      <c r="P197" s="61" t="n">
        <v>0</v>
      </c>
      <c r="Q197" s="61" t="n">
        <v>2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1</v>
      </c>
      <c r="Y197" s="61" t="n">
        <v>0</v>
      </c>
      <c r="Z197" s="61" t="n">
        <v>0</v>
      </c>
      <c r="AA197" s="61" t="n">
        <v>1</v>
      </c>
      <c r="AB197" s="61" t="n">
        <v>0</v>
      </c>
      <c r="AC197" s="61" t="n">
        <v>0</v>
      </c>
      <c r="AD197" s="62" t="n">
        <v>0</v>
      </c>
      <c r="AE197" s="28" t="n">
        <v>195</v>
      </c>
      <c r="AF197" s="50"/>
    </row>
    <row r="198" customFormat="false" ht="15" hidden="false" customHeight="true" outlineLevel="0" collapsed="false">
      <c r="A198" s="58" t="s">
        <v>446</v>
      </c>
      <c r="B198" s="46" t="s">
        <v>447</v>
      </c>
      <c r="C198" s="68" t="s">
        <v>41</v>
      </c>
      <c r="D198" s="69" t="s">
        <v>168</v>
      </c>
      <c r="E198" s="46" t="s">
        <v>143</v>
      </c>
      <c r="F198" s="46" t="n">
        <v>2</v>
      </c>
      <c r="G198" s="67" t="n">
        <v>1</v>
      </c>
      <c r="H198" s="46" t="s">
        <v>144</v>
      </c>
      <c r="I198" s="56" t="str">
        <f aca="false">A198</f>
        <v>S7.020.715</v>
      </c>
      <c r="J198" s="69"/>
      <c r="K198" s="46"/>
      <c r="L198" s="46"/>
      <c r="M198" s="60" t="n">
        <v>1</v>
      </c>
      <c r="N198" s="61" t="n">
        <v>1</v>
      </c>
      <c r="O198" s="61"/>
      <c r="P198" s="61" t="n">
        <v>0</v>
      </c>
      <c r="Q198" s="39" t="n">
        <v>1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1</v>
      </c>
      <c r="Y198" s="61" t="n">
        <v>0</v>
      </c>
      <c r="Z198" s="61" t="n">
        <v>0</v>
      </c>
      <c r="AA198" s="61" t="n">
        <v>1</v>
      </c>
      <c r="AB198" s="61" t="n">
        <v>0</v>
      </c>
      <c r="AC198" s="61" t="n">
        <v>0</v>
      </c>
      <c r="AD198" s="62" t="n">
        <v>0</v>
      </c>
      <c r="AE198" s="28" t="n">
        <v>196</v>
      </c>
      <c r="AF198" s="50"/>
    </row>
    <row r="199" customFormat="false" ht="15" hidden="false" customHeight="true" outlineLevel="0" collapsed="false">
      <c r="A199" s="58" t="s">
        <v>448</v>
      </c>
      <c r="B199" s="46" t="s">
        <v>449</v>
      </c>
      <c r="C199" s="68" t="s">
        <v>41</v>
      </c>
      <c r="D199" s="44" t="s">
        <v>168</v>
      </c>
      <c r="E199" s="46" t="s">
        <v>143</v>
      </c>
      <c r="F199" s="46" t="n">
        <v>2</v>
      </c>
      <c r="G199" s="46" t="n">
        <v>1</v>
      </c>
      <c r="H199" s="46" t="s">
        <v>144</v>
      </c>
      <c r="I199" s="56" t="str">
        <f aca="false">A199</f>
        <v>S7.020.719</v>
      </c>
      <c r="J199" s="44"/>
      <c r="K199" s="46"/>
      <c r="L199" s="46"/>
      <c r="M199" s="60" t="n">
        <v>1</v>
      </c>
      <c r="N199" s="61" t="n">
        <v>1</v>
      </c>
      <c r="O199" s="61"/>
      <c r="P199" s="61" t="n">
        <v>0</v>
      </c>
      <c r="Q199" s="39" t="n">
        <v>1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1</v>
      </c>
      <c r="Y199" s="61" t="n">
        <v>0</v>
      </c>
      <c r="Z199" s="61" t="n">
        <v>0</v>
      </c>
      <c r="AA199" s="61" t="n">
        <v>1</v>
      </c>
      <c r="AB199" s="61" t="n">
        <v>0</v>
      </c>
      <c r="AC199" s="61" t="n">
        <v>0</v>
      </c>
      <c r="AD199" s="62" t="n">
        <v>0</v>
      </c>
      <c r="AE199" s="39" t="n">
        <v>197</v>
      </c>
      <c r="AF199" s="50"/>
    </row>
    <row r="200" customFormat="false" ht="15" hidden="false" customHeight="true" outlineLevel="0" collapsed="false">
      <c r="A200" s="58" t="s">
        <v>450</v>
      </c>
      <c r="B200" s="46" t="s">
        <v>451</v>
      </c>
      <c r="C200" s="68" t="s">
        <v>41</v>
      </c>
      <c r="D200" s="69" t="s">
        <v>168</v>
      </c>
      <c r="E200" s="46" t="s">
        <v>143</v>
      </c>
      <c r="F200" s="46" t="n">
        <v>1</v>
      </c>
      <c r="G200" s="46" t="n">
        <v>1</v>
      </c>
      <c r="H200" s="46" t="s">
        <v>144</v>
      </c>
      <c r="I200" s="56" t="str">
        <f aca="false">A200</f>
        <v>S7.020.734</v>
      </c>
      <c r="J200" s="69"/>
      <c r="K200" s="46"/>
      <c r="L200" s="46"/>
      <c r="M200" s="60" t="n">
        <v>1</v>
      </c>
      <c r="N200" s="61" t="n">
        <v>1</v>
      </c>
      <c r="O200" s="61"/>
      <c r="P200" s="61" t="n">
        <v>0</v>
      </c>
      <c r="Q200" s="39" t="n">
        <v>1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1</v>
      </c>
      <c r="Y200" s="61" t="n">
        <v>0</v>
      </c>
      <c r="Z200" s="61" t="n">
        <v>0</v>
      </c>
      <c r="AA200" s="61" t="n">
        <v>1</v>
      </c>
      <c r="AB200" s="61" t="n">
        <v>0</v>
      </c>
      <c r="AC200" s="61" t="n">
        <v>0</v>
      </c>
      <c r="AD200" s="62" t="n">
        <v>0</v>
      </c>
      <c r="AE200" s="39" t="n">
        <v>198</v>
      </c>
      <c r="AF200" s="50"/>
    </row>
    <row r="201" customFormat="false" ht="15" hidden="false" customHeight="true" outlineLevel="0" collapsed="false">
      <c r="A201" s="58" t="s">
        <v>452</v>
      </c>
      <c r="B201" s="46" t="s">
        <v>453</v>
      </c>
      <c r="C201" s="59" t="s">
        <v>41</v>
      </c>
      <c r="D201" s="44" t="s">
        <v>168</v>
      </c>
      <c r="E201" s="46" t="s">
        <v>143</v>
      </c>
      <c r="F201" s="46" t="n">
        <v>1</v>
      </c>
      <c r="G201" s="46" t="n">
        <v>1</v>
      </c>
      <c r="H201" s="46"/>
      <c r="I201" s="45" t="s">
        <v>454</v>
      </c>
      <c r="J201" s="44"/>
      <c r="K201" s="46"/>
      <c r="L201" s="46"/>
      <c r="M201" s="60" t="n">
        <v>1</v>
      </c>
      <c r="N201" s="61" t="n">
        <v>1</v>
      </c>
      <c r="O201" s="61"/>
      <c r="P201" s="61" t="n">
        <v>0</v>
      </c>
      <c r="Q201" s="39" t="n">
        <v>1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1</v>
      </c>
      <c r="Y201" s="61" t="n">
        <v>0</v>
      </c>
      <c r="Z201" s="61" t="n">
        <v>0</v>
      </c>
      <c r="AA201" s="61" t="n">
        <v>1</v>
      </c>
      <c r="AB201" s="61" t="n">
        <v>0</v>
      </c>
      <c r="AC201" s="61" t="n">
        <v>0</v>
      </c>
      <c r="AD201" s="62" t="n">
        <v>0</v>
      </c>
      <c r="AE201" s="39" t="n">
        <v>199</v>
      </c>
      <c r="AF201" s="50"/>
    </row>
    <row r="202" customFormat="false" ht="15" hidden="false" customHeight="true" outlineLevel="0" collapsed="false">
      <c r="A202" s="58" t="s">
        <v>454</v>
      </c>
      <c r="B202" s="46" t="s">
        <v>455</v>
      </c>
      <c r="C202" s="59" t="s">
        <v>41</v>
      </c>
      <c r="D202" s="69" t="s">
        <v>168</v>
      </c>
      <c r="E202" s="46" t="s">
        <v>143</v>
      </c>
      <c r="F202" s="46" t="n">
        <v>1</v>
      </c>
      <c r="G202" s="46" t="n">
        <v>1</v>
      </c>
      <c r="H202" s="46" t="s">
        <v>144</v>
      </c>
      <c r="I202" s="56" t="str">
        <f aca="false">A202</f>
        <v>S7.020.737</v>
      </c>
      <c r="J202" s="69"/>
      <c r="K202" s="46"/>
      <c r="L202" s="46"/>
      <c r="M202" s="60" t="n">
        <v>1</v>
      </c>
      <c r="N202" s="61" t="n">
        <v>3</v>
      </c>
      <c r="O202" s="61"/>
      <c r="P202" s="61" t="n">
        <v>0</v>
      </c>
      <c r="Q202" s="61" t="n">
        <v>3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3</v>
      </c>
      <c r="Y202" s="61" t="n">
        <v>0</v>
      </c>
      <c r="Z202" s="61" t="n">
        <v>0</v>
      </c>
      <c r="AA202" s="61" t="n">
        <v>3</v>
      </c>
      <c r="AB202" s="61" t="n">
        <v>0</v>
      </c>
      <c r="AC202" s="61" t="n">
        <v>0</v>
      </c>
      <c r="AD202" s="62" t="n">
        <v>0</v>
      </c>
      <c r="AE202" s="28" t="n">
        <v>200</v>
      </c>
      <c r="AF202" s="50"/>
    </row>
    <row r="203" customFormat="false" ht="15" hidden="false" customHeight="true" outlineLevel="0" collapsed="false">
      <c r="A203" s="58" t="s">
        <v>456</v>
      </c>
      <c r="B203" s="46" t="s">
        <v>457</v>
      </c>
      <c r="C203" s="68" t="s">
        <v>41</v>
      </c>
      <c r="D203" s="44" t="s">
        <v>168</v>
      </c>
      <c r="E203" s="46" t="s">
        <v>143</v>
      </c>
      <c r="F203" s="46" t="n">
        <v>1</v>
      </c>
      <c r="G203" s="46" t="n">
        <v>1</v>
      </c>
      <c r="H203" s="46"/>
      <c r="I203" s="45" t="s">
        <v>454</v>
      </c>
      <c r="J203" s="44"/>
      <c r="K203" s="46"/>
      <c r="L203" s="46"/>
      <c r="M203" s="60" t="n">
        <v>1</v>
      </c>
      <c r="N203" s="61" t="n">
        <v>1</v>
      </c>
      <c r="O203" s="61"/>
      <c r="P203" s="61" t="n">
        <v>0</v>
      </c>
      <c r="Q203" s="39" t="n">
        <v>1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1</v>
      </c>
      <c r="Y203" s="61" t="n">
        <v>0</v>
      </c>
      <c r="Z203" s="61" t="n">
        <v>0</v>
      </c>
      <c r="AA203" s="61" t="n">
        <v>1</v>
      </c>
      <c r="AB203" s="61" t="n">
        <v>0</v>
      </c>
      <c r="AC203" s="61" t="n">
        <v>0</v>
      </c>
      <c r="AD203" s="62" t="n">
        <v>0</v>
      </c>
      <c r="AE203" s="28" t="n">
        <v>201</v>
      </c>
      <c r="AF203" s="50"/>
    </row>
    <row r="204" customFormat="false" ht="15" hidden="false" customHeight="true" outlineLevel="0" collapsed="false">
      <c r="A204" s="58" t="s">
        <v>458</v>
      </c>
      <c r="B204" s="46" t="s">
        <v>459</v>
      </c>
      <c r="C204" s="68" t="s">
        <v>41</v>
      </c>
      <c r="D204" s="69" t="s">
        <v>168</v>
      </c>
      <c r="E204" s="46" t="s">
        <v>143</v>
      </c>
      <c r="F204" s="46" t="n">
        <v>1</v>
      </c>
      <c r="G204" s="46" t="n">
        <v>1</v>
      </c>
      <c r="H204" s="46"/>
      <c r="I204" s="45" t="s">
        <v>454</v>
      </c>
      <c r="J204" s="69"/>
      <c r="K204" s="46"/>
      <c r="L204" s="46"/>
      <c r="M204" s="60" t="n">
        <v>1</v>
      </c>
      <c r="N204" s="61" t="n">
        <v>1</v>
      </c>
      <c r="O204" s="61"/>
      <c r="P204" s="61" t="n">
        <v>0</v>
      </c>
      <c r="Q204" s="39" t="n">
        <v>1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1</v>
      </c>
      <c r="Y204" s="61" t="n">
        <v>0</v>
      </c>
      <c r="Z204" s="61" t="n">
        <v>0</v>
      </c>
      <c r="AA204" s="61" t="n">
        <v>1</v>
      </c>
      <c r="AB204" s="61" t="n">
        <v>0</v>
      </c>
      <c r="AC204" s="61" t="n">
        <v>0</v>
      </c>
      <c r="AD204" s="62" t="n">
        <v>0</v>
      </c>
      <c r="AE204" s="39" t="n">
        <v>202</v>
      </c>
      <c r="AF204" s="50"/>
    </row>
    <row r="205" customFormat="false" ht="15" hidden="false" customHeight="true" outlineLevel="0" collapsed="false">
      <c r="A205" s="58" t="s">
        <v>460</v>
      </c>
      <c r="B205" s="46" t="s">
        <v>461</v>
      </c>
      <c r="C205" s="68" t="s">
        <v>41</v>
      </c>
      <c r="D205" s="44" t="s">
        <v>168</v>
      </c>
      <c r="E205" s="46" t="s">
        <v>143</v>
      </c>
      <c r="F205" s="46" t="n">
        <v>1</v>
      </c>
      <c r="G205" s="46" t="n">
        <v>1</v>
      </c>
      <c r="H205" s="46" t="s">
        <v>144</v>
      </c>
      <c r="I205" s="56" t="str">
        <f aca="false">A205</f>
        <v>S7.020.741</v>
      </c>
      <c r="J205" s="44"/>
      <c r="K205" s="46"/>
      <c r="L205" s="46"/>
      <c r="M205" s="60" t="n">
        <v>1</v>
      </c>
      <c r="N205" s="61" t="n">
        <v>1</v>
      </c>
      <c r="O205" s="61"/>
      <c r="P205" s="61" t="n">
        <v>0</v>
      </c>
      <c r="Q205" s="39" t="n">
        <v>1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1</v>
      </c>
      <c r="Y205" s="61" t="n">
        <v>0</v>
      </c>
      <c r="Z205" s="61" t="n">
        <v>0</v>
      </c>
      <c r="AA205" s="61" t="n">
        <v>1</v>
      </c>
      <c r="AB205" s="61" t="n">
        <v>0</v>
      </c>
      <c r="AC205" s="61" t="n">
        <v>0</v>
      </c>
      <c r="AD205" s="62" t="n">
        <v>0</v>
      </c>
      <c r="AE205" s="39" t="n">
        <v>203</v>
      </c>
      <c r="AF205" s="50"/>
    </row>
    <row r="206" customFormat="false" ht="15" hidden="false" customHeight="true" outlineLevel="0" collapsed="false">
      <c r="A206" s="58" t="s">
        <v>462</v>
      </c>
      <c r="B206" s="46" t="s">
        <v>463</v>
      </c>
      <c r="C206" s="59" t="s">
        <v>41</v>
      </c>
      <c r="D206" s="69" t="s">
        <v>168</v>
      </c>
      <c r="E206" s="46" t="s">
        <v>143</v>
      </c>
      <c r="F206" s="46" t="n">
        <v>4</v>
      </c>
      <c r="G206" s="46" t="n">
        <v>1</v>
      </c>
      <c r="H206" s="46" t="s">
        <v>144</v>
      </c>
      <c r="I206" s="56" t="str">
        <f aca="false">A206</f>
        <v>S7.030.705</v>
      </c>
      <c r="J206" s="69"/>
      <c r="K206" s="46"/>
      <c r="L206" s="46"/>
      <c r="M206" s="60" t="n">
        <v>1</v>
      </c>
      <c r="N206" s="61" t="n">
        <v>1</v>
      </c>
      <c r="O206" s="61"/>
      <c r="P206" s="61" t="n">
        <v>0</v>
      </c>
      <c r="Q206" s="39" t="n">
        <v>1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1</v>
      </c>
      <c r="Y206" s="61" t="n">
        <v>0</v>
      </c>
      <c r="Z206" s="61" t="n">
        <v>0</v>
      </c>
      <c r="AA206" s="61" t="n">
        <v>3</v>
      </c>
      <c r="AB206" s="61" t="n">
        <v>0</v>
      </c>
      <c r="AC206" s="61" t="n">
        <v>0</v>
      </c>
      <c r="AD206" s="62" t="n">
        <v>0</v>
      </c>
      <c r="AE206" s="39" t="n">
        <v>204</v>
      </c>
      <c r="AF206" s="50"/>
    </row>
    <row r="207" customFormat="false" ht="15" hidden="false" customHeight="true" outlineLevel="0" collapsed="false">
      <c r="A207" s="58" t="s">
        <v>464</v>
      </c>
      <c r="B207" s="46" t="s">
        <v>465</v>
      </c>
      <c r="C207" s="59" t="s">
        <v>41</v>
      </c>
      <c r="D207" s="44" t="s">
        <v>168</v>
      </c>
      <c r="E207" s="46" t="s">
        <v>143</v>
      </c>
      <c r="F207" s="46" t="n">
        <v>4</v>
      </c>
      <c r="G207" s="46" t="n">
        <v>1</v>
      </c>
      <c r="H207" s="46" t="s">
        <v>144</v>
      </c>
      <c r="I207" s="56" t="str">
        <f aca="false">A207</f>
        <v>S7.030.710</v>
      </c>
      <c r="J207" s="44"/>
      <c r="K207" s="46"/>
      <c r="L207" s="46"/>
      <c r="M207" s="60" t="n">
        <v>1</v>
      </c>
      <c r="N207" s="61" t="n">
        <v>1</v>
      </c>
      <c r="O207" s="61"/>
      <c r="P207" s="61" t="n">
        <v>0</v>
      </c>
      <c r="Q207" s="39" t="n">
        <v>1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1</v>
      </c>
      <c r="Y207" s="61" t="n">
        <v>0</v>
      </c>
      <c r="Z207" s="61" t="n">
        <v>0</v>
      </c>
      <c r="AA207" s="61" t="n">
        <v>1</v>
      </c>
      <c r="AB207" s="61" t="n">
        <v>0</v>
      </c>
      <c r="AC207" s="61" t="n">
        <v>0</v>
      </c>
      <c r="AD207" s="62" t="n">
        <v>0</v>
      </c>
      <c r="AE207" s="28" t="n">
        <v>205</v>
      </c>
      <c r="AF207" s="50"/>
    </row>
    <row r="208" customFormat="false" ht="15" hidden="false" customHeight="true" outlineLevel="0" collapsed="false">
      <c r="A208" s="58" t="s">
        <v>466</v>
      </c>
      <c r="B208" s="46" t="s">
        <v>467</v>
      </c>
      <c r="C208" s="68" t="s">
        <v>41</v>
      </c>
      <c r="D208" s="69" t="s">
        <v>168</v>
      </c>
      <c r="E208" s="46" t="s">
        <v>155</v>
      </c>
      <c r="F208" s="46" t="n">
        <v>2</v>
      </c>
      <c r="G208" s="46" t="n">
        <v>1</v>
      </c>
      <c r="H208" s="46" t="s">
        <v>156</v>
      </c>
      <c r="I208" s="45" t="s">
        <v>468</v>
      </c>
      <c r="J208" s="69"/>
      <c r="K208" s="46"/>
      <c r="L208" s="46"/>
      <c r="M208" s="60" t="n">
        <v>1</v>
      </c>
      <c r="N208" s="61" t="n">
        <v>1</v>
      </c>
      <c r="O208" s="61"/>
      <c r="P208" s="61" t="n">
        <v>0</v>
      </c>
      <c r="Q208" s="39" t="n">
        <v>1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1</v>
      </c>
      <c r="Y208" s="61" t="n">
        <v>0</v>
      </c>
      <c r="Z208" s="61" t="n">
        <v>0</v>
      </c>
      <c r="AA208" s="61" t="n">
        <v>1</v>
      </c>
      <c r="AB208" s="61" t="n">
        <v>0</v>
      </c>
      <c r="AC208" s="61" t="n">
        <v>0</v>
      </c>
      <c r="AD208" s="62" t="n">
        <v>0</v>
      </c>
      <c r="AE208" s="28" t="n">
        <v>206</v>
      </c>
      <c r="AF208" s="50"/>
    </row>
    <row r="209" customFormat="false" ht="15" hidden="false" customHeight="true" outlineLevel="0" collapsed="false">
      <c r="A209" s="58" t="s">
        <v>469</v>
      </c>
      <c r="B209" s="46" t="s">
        <v>470</v>
      </c>
      <c r="C209" s="68" t="s">
        <v>41</v>
      </c>
      <c r="D209" s="44" t="s">
        <v>168</v>
      </c>
      <c r="E209" s="46" t="s">
        <v>155</v>
      </c>
      <c r="F209" s="46" t="n">
        <v>3</v>
      </c>
      <c r="G209" s="46" t="n">
        <v>1</v>
      </c>
      <c r="H209" s="46" t="s">
        <v>156</v>
      </c>
      <c r="I209" s="56" t="str">
        <f aca="false">A209</f>
        <v>S8.020.804</v>
      </c>
      <c r="J209" s="44"/>
      <c r="K209" s="46"/>
      <c r="L209" s="46"/>
      <c r="M209" s="60" t="n">
        <v>1</v>
      </c>
      <c r="N209" s="61" t="n">
        <v>3</v>
      </c>
      <c r="O209" s="61"/>
      <c r="P209" s="61" t="n">
        <v>0</v>
      </c>
      <c r="Q209" s="61" t="n">
        <v>3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1</v>
      </c>
      <c r="Y209" s="61" t="n">
        <v>0</v>
      </c>
      <c r="Z209" s="61" t="n">
        <v>0</v>
      </c>
      <c r="AA209" s="61" t="n">
        <v>2</v>
      </c>
      <c r="AB209" s="61" t="n">
        <v>0</v>
      </c>
      <c r="AC209" s="61" t="n">
        <v>0</v>
      </c>
      <c r="AD209" s="62" t="n">
        <v>0</v>
      </c>
      <c r="AE209" s="39" t="n">
        <v>207</v>
      </c>
      <c r="AF209" s="50"/>
    </row>
    <row r="210" customFormat="false" ht="15" hidden="false" customHeight="true" outlineLevel="0" collapsed="false">
      <c r="A210" s="58"/>
      <c r="B210" s="46"/>
      <c r="C210" s="68"/>
      <c r="D210" s="69"/>
      <c r="E210" s="46"/>
      <c r="F210" s="46"/>
      <c r="G210" s="46"/>
      <c r="H210" s="46"/>
      <c r="I210" s="56"/>
      <c r="J210" s="69"/>
      <c r="K210" s="46"/>
      <c r="L210" s="46"/>
      <c r="M210" s="60"/>
      <c r="N210" s="61"/>
      <c r="O210" s="61"/>
      <c r="P210" s="61"/>
      <c r="Q210" s="39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2"/>
      <c r="AE210" s="39"/>
      <c r="AF210" s="50"/>
    </row>
    <row r="211" customFormat="false" ht="15" hidden="false" customHeight="true" outlineLevel="0" collapsed="false">
      <c r="A211" s="58"/>
      <c r="B211" s="46"/>
      <c r="C211" s="59"/>
      <c r="D211" s="44"/>
      <c r="E211" s="46"/>
      <c r="F211" s="46"/>
      <c r="G211" s="42"/>
      <c r="H211" s="46"/>
      <c r="I211" s="56"/>
      <c r="J211" s="44"/>
      <c r="K211" s="46"/>
      <c r="L211" s="46"/>
      <c r="M211" s="60"/>
      <c r="N211" s="61"/>
      <c r="O211" s="61"/>
      <c r="P211" s="61"/>
      <c r="Q211" s="39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2"/>
      <c r="AE211" s="39"/>
      <c r="AF211" s="50"/>
    </row>
    <row r="212" customFormat="false" ht="15" hidden="false" customHeight="true" outlineLevel="0" collapsed="false">
      <c r="A212" s="58"/>
      <c r="B212" s="46"/>
      <c r="C212" s="59"/>
      <c r="D212" s="69"/>
      <c r="E212" s="46"/>
      <c r="F212" s="46"/>
      <c r="G212" s="67"/>
      <c r="H212" s="46"/>
      <c r="I212" s="56"/>
      <c r="J212" s="69"/>
      <c r="K212" s="46"/>
      <c r="L212" s="46"/>
      <c r="M212" s="60"/>
      <c r="N212" s="61"/>
      <c r="O212" s="61"/>
      <c r="P212" s="61"/>
      <c r="Q212" s="39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2"/>
      <c r="AE212" s="28"/>
      <c r="AF212" s="50"/>
    </row>
    <row r="213" customFormat="false" ht="15" hidden="false" customHeight="true" outlineLevel="0" collapsed="false">
      <c r="A213" s="58"/>
      <c r="B213" s="46"/>
      <c r="C213" s="68"/>
      <c r="D213" s="44"/>
      <c r="E213" s="46"/>
      <c r="F213" s="46"/>
      <c r="G213" s="46"/>
      <c r="H213" s="46"/>
      <c r="I213" s="56"/>
      <c r="J213" s="44"/>
      <c r="K213" s="46"/>
      <c r="L213" s="46"/>
      <c r="M213" s="60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2"/>
      <c r="AE213" s="28"/>
      <c r="AF213" s="50"/>
    </row>
    <row r="214" customFormat="false" ht="15" hidden="false" customHeight="true" outlineLevel="0" collapsed="false">
      <c r="A214" s="58"/>
      <c r="B214" s="46"/>
      <c r="C214" s="68"/>
      <c r="D214" s="69"/>
      <c r="E214" s="46"/>
      <c r="F214" s="46"/>
      <c r="G214" s="46"/>
      <c r="H214" s="46"/>
      <c r="I214" s="56"/>
      <c r="J214" s="69"/>
      <c r="K214" s="46"/>
      <c r="L214" s="46"/>
      <c r="M214" s="60"/>
      <c r="N214" s="61"/>
      <c r="O214" s="61"/>
      <c r="P214" s="61"/>
      <c r="Q214" s="39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2"/>
      <c r="AE214" s="39"/>
      <c r="AF214" s="50"/>
    </row>
    <row r="215" customFormat="false" ht="15" hidden="false" customHeight="true" outlineLevel="0" collapsed="false">
      <c r="A215" s="58"/>
      <c r="B215" s="46"/>
      <c r="C215" s="68"/>
      <c r="D215" s="44"/>
      <c r="E215" s="46"/>
      <c r="F215" s="46"/>
      <c r="G215" s="46"/>
      <c r="H215" s="46"/>
      <c r="I215" s="56"/>
      <c r="J215" s="44"/>
      <c r="K215" s="46"/>
      <c r="L215" s="46"/>
      <c r="M215" s="60"/>
      <c r="N215" s="61"/>
      <c r="O215" s="61"/>
      <c r="P215" s="61"/>
      <c r="Q215" s="39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2"/>
      <c r="AE215" s="39"/>
      <c r="AF215" s="50"/>
    </row>
    <row r="216" customFormat="false" ht="15" hidden="false" customHeight="true" outlineLevel="0" collapsed="false">
      <c r="A216" s="58"/>
      <c r="B216" s="46"/>
      <c r="C216" s="59"/>
      <c r="D216" s="69"/>
      <c r="E216" s="46"/>
      <c r="F216" s="46"/>
      <c r="G216" s="46"/>
      <c r="H216" s="46"/>
      <c r="I216" s="56"/>
      <c r="J216" s="69"/>
      <c r="K216" s="46"/>
      <c r="L216" s="46"/>
      <c r="M216" s="60"/>
      <c r="N216" s="61"/>
      <c r="O216" s="61"/>
      <c r="P216" s="61"/>
      <c r="Q216" s="39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2"/>
      <c r="AE216" s="39"/>
      <c r="AF216" s="50"/>
    </row>
    <row r="217" customFormat="false" ht="15" hidden="false" customHeight="true" outlineLevel="0" collapsed="false">
      <c r="A217" s="58" t="s">
        <v>471</v>
      </c>
      <c r="B217" s="46" t="s">
        <v>472</v>
      </c>
      <c r="C217" s="59" t="s">
        <v>41</v>
      </c>
      <c r="D217" s="44" t="s">
        <v>168</v>
      </c>
      <c r="E217" s="46" t="s">
        <v>155</v>
      </c>
      <c r="F217" s="46" t="n">
        <v>1</v>
      </c>
      <c r="G217" s="46" t="n">
        <v>1</v>
      </c>
      <c r="H217" s="46"/>
      <c r="I217" s="45" t="s">
        <v>473</v>
      </c>
      <c r="J217" s="44"/>
      <c r="K217" s="46"/>
      <c r="L217" s="46"/>
      <c r="M217" s="60" t="n">
        <v>1</v>
      </c>
      <c r="N217" s="61" t="n">
        <v>1</v>
      </c>
      <c r="O217" s="61"/>
      <c r="P217" s="61" t="n">
        <v>0</v>
      </c>
      <c r="Q217" s="39" t="n">
        <v>1</v>
      </c>
      <c r="R217" s="61" t="n">
        <v>0</v>
      </c>
      <c r="S217" s="61" t="n">
        <v>0</v>
      </c>
      <c r="T217" s="61" t="n">
        <v>0</v>
      </c>
      <c r="U217" s="61" t="n">
        <v>0</v>
      </c>
      <c r="V217" s="61" t="n">
        <v>0</v>
      </c>
      <c r="W217" s="61" t="n">
        <v>0</v>
      </c>
      <c r="X217" s="61" t="n">
        <v>1</v>
      </c>
      <c r="Y217" s="61" t="n">
        <v>0</v>
      </c>
      <c r="Z217" s="61" t="n">
        <v>0</v>
      </c>
      <c r="AA217" s="61" t="n">
        <v>1</v>
      </c>
      <c r="AB217" s="61" t="n">
        <v>0</v>
      </c>
      <c r="AC217" s="61" t="n">
        <v>0</v>
      </c>
      <c r="AD217" s="62" t="n">
        <v>0</v>
      </c>
      <c r="AE217" s="28" t="n">
        <v>215</v>
      </c>
      <c r="AF217" s="50"/>
    </row>
    <row r="218" customFormat="false" ht="15" hidden="false" customHeight="true" outlineLevel="0" collapsed="false">
      <c r="A218" s="58" t="s">
        <v>473</v>
      </c>
      <c r="B218" s="46" t="s">
        <v>474</v>
      </c>
      <c r="C218" s="68" t="s">
        <v>41</v>
      </c>
      <c r="D218" s="69" t="s">
        <v>168</v>
      </c>
      <c r="E218" s="46" t="s">
        <v>155</v>
      </c>
      <c r="F218" s="46" t="n">
        <v>1</v>
      </c>
      <c r="G218" s="46" t="n">
        <v>1</v>
      </c>
      <c r="H218" s="46" t="s">
        <v>156</v>
      </c>
      <c r="I218" s="56" t="str">
        <f aca="false">A218</f>
        <v>S8.020.837</v>
      </c>
      <c r="J218" s="69"/>
      <c r="K218" s="46"/>
      <c r="L218" s="46"/>
      <c r="M218" s="60" t="n">
        <v>1</v>
      </c>
      <c r="N218" s="61" t="n">
        <v>3</v>
      </c>
      <c r="O218" s="61"/>
      <c r="P218" s="61" t="n">
        <v>0</v>
      </c>
      <c r="Q218" s="61" t="n">
        <v>3</v>
      </c>
      <c r="R218" s="61" t="n">
        <v>0</v>
      </c>
      <c r="S218" s="61" t="n">
        <v>0</v>
      </c>
      <c r="T218" s="61" t="n">
        <v>0</v>
      </c>
      <c r="U218" s="61" t="n">
        <v>0</v>
      </c>
      <c r="V218" s="61" t="n">
        <v>0</v>
      </c>
      <c r="W218" s="61" t="n">
        <v>0</v>
      </c>
      <c r="X218" s="61" t="n">
        <v>3</v>
      </c>
      <c r="Y218" s="61" t="n">
        <v>0</v>
      </c>
      <c r="Z218" s="61" t="n">
        <v>0</v>
      </c>
      <c r="AA218" s="61" t="n">
        <v>3</v>
      </c>
      <c r="AB218" s="61" t="n">
        <v>0</v>
      </c>
      <c r="AC218" s="61" t="n">
        <v>0</v>
      </c>
      <c r="AD218" s="62" t="n">
        <v>0</v>
      </c>
      <c r="AE218" s="28" t="n">
        <v>216</v>
      </c>
      <c r="AF218" s="50"/>
    </row>
    <row r="219" customFormat="false" ht="15" hidden="false" customHeight="true" outlineLevel="0" collapsed="false">
      <c r="A219" s="58" t="s">
        <v>475</v>
      </c>
      <c r="B219" s="46" t="s">
        <v>476</v>
      </c>
      <c r="C219" s="68" t="s">
        <v>41</v>
      </c>
      <c r="D219" s="44" t="s">
        <v>168</v>
      </c>
      <c r="E219" s="46" t="s">
        <v>155</v>
      </c>
      <c r="F219" s="46" t="n">
        <v>1</v>
      </c>
      <c r="G219" s="46" t="n">
        <v>1</v>
      </c>
      <c r="H219" s="46"/>
      <c r="I219" s="45" t="s">
        <v>473</v>
      </c>
      <c r="J219" s="44"/>
      <c r="K219" s="46"/>
      <c r="L219" s="46"/>
      <c r="M219" s="60" t="n">
        <v>1</v>
      </c>
      <c r="N219" s="61" t="n">
        <v>1</v>
      </c>
      <c r="O219" s="61"/>
      <c r="P219" s="61" t="n">
        <v>0</v>
      </c>
      <c r="Q219" s="39" t="n">
        <v>1</v>
      </c>
      <c r="R219" s="61" t="n">
        <v>0</v>
      </c>
      <c r="S219" s="61" t="n">
        <v>0</v>
      </c>
      <c r="T219" s="61" t="n">
        <v>0</v>
      </c>
      <c r="U219" s="61" t="n">
        <v>0</v>
      </c>
      <c r="V219" s="61" t="n">
        <v>0</v>
      </c>
      <c r="W219" s="61" t="n">
        <v>0</v>
      </c>
      <c r="X219" s="61" t="n">
        <v>1</v>
      </c>
      <c r="Y219" s="61" t="n">
        <v>0</v>
      </c>
      <c r="Z219" s="61" t="n">
        <v>0</v>
      </c>
      <c r="AA219" s="61" t="n">
        <v>1</v>
      </c>
      <c r="AB219" s="61" t="n">
        <v>0</v>
      </c>
      <c r="AC219" s="61" t="n">
        <v>0</v>
      </c>
      <c r="AD219" s="62" t="n">
        <v>0</v>
      </c>
      <c r="AE219" s="39" t="n">
        <v>217</v>
      </c>
      <c r="AF219" s="50"/>
    </row>
    <row r="220" customFormat="false" ht="15" hidden="false" customHeight="true" outlineLevel="0" collapsed="false">
      <c r="A220" s="58" t="s">
        <v>477</v>
      </c>
      <c r="B220" s="46" t="s">
        <v>478</v>
      </c>
      <c r="C220" s="68" t="s">
        <v>41</v>
      </c>
      <c r="D220" s="69" t="s">
        <v>168</v>
      </c>
      <c r="E220" s="46" t="s">
        <v>155</v>
      </c>
      <c r="F220" s="46" t="n">
        <v>1</v>
      </c>
      <c r="G220" s="46" t="n">
        <v>1</v>
      </c>
      <c r="H220" s="46"/>
      <c r="I220" s="45" t="s">
        <v>473</v>
      </c>
      <c r="J220" s="69"/>
      <c r="K220" s="46"/>
      <c r="L220" s="46"/>
      <c r="M220" s="60" t="n">
        <v>1</v>
      </c>
      <c r="N220" s="61" t="n">
        <v>1</v>
      </c>
      <c r="O220" s="61"/>
      <c r="P220" s="61" t="n">
        <v>0</v>
      </c>
      <c r="Q220" s="39" t="n">
        <v>1</v>
      </c>
      <c r="R220" s="61" t="n">
        <v>0</v>
      </c>
      <c r="S220" s="61" t="n">
        <v>0</v>
      </c>
      <c r="T220" s="61" t="n">
        <v>0</v>
      </c>
      <c r="U220" s="61" t="n">
        <v>0</v>
      </c>
      <c r="V220" s="61" t="n">
        <v>0</v>
      </c>
      <c r="W220" s="61" t="n">
        <v>0</v>
      </c>
      <c r="X220" s="61" t="n">
        <v>1</v>
      </c>
      <c r="Y220" s="61" t="n">
        <v>0</v>
      </c>
      <c r="Z220" s="61" t="n">
        <v>0</v>
      </c>
      <c r="AA220" s="61" t="n">
        <v>1</v>
      </c>
      <c r="AB220" s="61" t="n">
        <v>0</v>
      </c>
      <c r="AC220" s="61" t="n">
        <v>0</v>
      </c>
      <c r="AD220" s="62" t="n">
        <v>0</v>
      </c>
      <c r="AE220" s="39" t="n">
        <v>218</v>
      </c>
      <c r="AF220" s="50"/>
    </row>
    <row r="221" customFormat="false" ht="15" hidden="false" customHeight="true" outlineLevel="0" collapsed="false">
      <c r="A221" s="58" t="s">
        <v>479</v>
      </c>
      <c r="B221" s="46" t="s">
        <v>480</v>
      </c>
      <c r="C221" s="59" t="s">
        <v>41</v>
      </c>
      <c r="D221" s="44" t="s">
        <v>168</v>
      </c>
      <c r="E221" s="46" t="s">
        <v>155</v>
      </c>
      <c r="F221" s="46" t="n">
        <v>1</v>
      </c>
      <c r="G221" s="46" t="n">
        <v>1</v>
      </c>
      <c r="H221" s="46" t="s">
        <v>156</v>
      </c>
      <c r="I221" s="56" t="str">
        <f aca="false">A221</f>
        <v>S8.020.841</v>
      </c>
      <c r="J221" s="44"/>
      <c r="K221" s="46"/>
      <c r="L221" s="46"/>
      <c r="M221" s="60" t="n">
        <v>1</v>
      </c>
      <c r="N221" s="61" t="n">
        <v>1</v>
      </c>
      <c r="O221" s="61"/>
      <c r="P221" s="61" t="n">
        <v>0</v>
      </c>
      <c r="Q221" s="39" t="n">
        <v>1</v>
      </c>
      <c r="R221" s="61" t="n">
        <v>0</v>
      </c>
      <c r="S221" s="61" t="n">
        <v>0</v>
      </c>
      <c r="T221" s="61" t="n">
        <v>0</v>
      </c>
      <c r="U221" s="61" t="n">
        <v>0</v>
      </c>
      <c r="V221" s="61" t="n">
        <v>0</v>
      </c>
      <c r="W221" s="61" t="n">
        <v>0</v>
      </c>
      <c r="X221" s="61" t="n">
        <v>1</v>
      </c>
      <c r="Y221" s="61" t="n">
        <v>0</v>
      </c>
      <c r="Z221" s="61" t="n">
        <v>0</v>
      </c>
      <c r="AA221" s="61" t="n">
        <v>1</v>
      </c>
      <c r="AB221" s="61" t="n">
        <v>0</v>
      </c>
      <c r="AC221" s="61" t="n">
        <v>0</v>
      </c>
      <c r="AD221" s="62" t="n">
        <v>0</v>
      </c>
      <c r="AE221" s="39" t="n">
        <v>219</v>
      </c>
      <c r="AF221" s="50"/>
    </row>
    <row r="222" customFormat="false" ht="15" hidden="false" customHeight="true" outlineLevel="0" collapsed="false">
      <c r="A222" s="58" t="s">
        <v>481</v>
      </c>
      <c r="B222" s="46" t="s">
        <v>482</v>
      </c>
      <c r="C222" s="59" t="s">
        <v>41</v>
      </c>
      <c r="D222" s="69" t="s">
        <v>168</v>
      </c>
      <c r="E222" s="46" t="s">
        <v>155</v>
      </c>
      <c r="F222" s="46" t="n">
        <v>4</v>
      </c>
      <c r="G222" s="46" t="n">
        <v>1</v>
      </c>
      <c r="H222" s="46" t="s">
        <v>156</v>
      </c>
      <c r="I222" s="56" t="str">
        <f aca="false">A222</f>
        <v>S8.030.805</v>
      </c>
      <c r="J222" s="69"/>
      <c r="K222" s="46"/>
      <c r="L222" s="46"/>
      <c r="M222" s="60" t="n">
        <v>1</v>
      </c>
      <c r="N222" s="61" t="n">
        <v>1</v>
      </c>
      <c r="O222" s="61"/>
      <c r="P222" s="61" t="n">
        <v>0</v>
      </c>
      <c r="Q222" s="39" t="n">
        <v>1</v>
      </c>
      <c r="R222" s="61" t="n">
        <v>0</v>
      </c>
      <c r="S222" s="61" t="n">
        <v>0</v>
      </c>
      <c r="T222" s="61" t="n">
        <v>0</v>
      </c>
      <c r="U222" s="61" t="n">
        <v>0</v>
      </c>
      <c r="V222" s="61" t="n">
        <v>0</v>
      </c>
      <c r="W222" s="61" t="n">
        <v>0</v>
      </c>
      <c r="X222" s="61" t="n">
        <v>1</v>
      </c>
      <c r="Y222" s="61" t="n">
        <v>0</v>
      </c>
      <c r="Z222" s="61" t="n">
        <v>0</v>
      </c>
      <c r="AA222" s="61" t="n">
        <v>3</v>
      </c>
      <c r="AB222" s="61" t="n">
        <v>0</v>
      </c>
      <c r="AC222" s="61" t="n">
        <v>0</v>
      </c>
      <c r="AD222" s="62" t="n">
        <v>0</v>
      </c>
      <c r="AE222" s="28" t="n">
        <v>220</v>
      </c>
      <c r="AF222" s="50"/>
    </row>
    <row r="223" customFormat="false" ht="15" hidden="false" customHeight="true" outlineLevel="0" collapsed="false">
      <c r="A223" s="58" t="s">
        <v>483</v>
      </c>
      <c r="B223" s="46" t="s">
        <v>484</v>
      </c>
      <c r="C223" s="68" t="s">
        <v>41</v>
      </c>
      <c r="D223" s="44" t="s">
        <v>168</v>
      </c>
      <c r="E223" s="46" t="s">
        <v>155</v>
      </c>
      <c r="F223" s="46" t="n">
        <v>4</v>
      </c>
      <c r="G223" s="46" t="n">
        <v>1</v>
      </c>
      <c r="H223" s="46" t="s">
        <v>156</v>
      </c>
      <c r="I223" s="56" t="str">
        <f aca="false">A223</f>
        <v>S8.030.810</v>
      </c>
      <c r="J223" s="44"/>
      <c r="K223" s="46"/>
      <c r="L223" s="46"/>
      <c r="M223" s="60" t="n">
        <v>1</v>
      </c>
      <c r="N223" s="61" t="n">
        <v>1</v>
      </c>
      <c r="O223" s="61"/>
      <c r="P223" s="61" t="n">
        <v>0</v>
      </c>
      <c r="Q223" s="39" t="n">
        <v>1</v>
      </c>
      <c r="R223" s="61" t="n">
        <v>0</v>
      </c>
      <c r="S223" s="61" t="n">
        <v>0</v>
      </c>
      <c r="T223" s="61" t="n">
        <v>0</v>
      </c>
      <c r="U223" s="61" t="n">
        <v>0</v>
      </c>
      <c r="V223" s="61" t="n">
        <v>0</v>
      </c>
      <c r="W223" s="61" t="n">
        <v>0</v>
      </c>
      <c r="X223" s="61" t="n">
        <v>1</v>
      </c>
      <c r="Y223" s="61" t="n">
        <v>0</v>
      </c>
      <c r="Z223" s="61" t="n">
        <v>0</v>
      </c>
      <c r="AA223" s="61" t="n">
        <v>1</v>
      </c>
      <c r="AB223" s="61" t="n">
        <v>0</v>
      </c>
      <c r="AC223" s="61" t="n">
        <v>0</v>
      </c>
      <c r="AD223" s="62" t="n">
        <v>0</v>
      </c>
      <c r="AE223" s="28" t="n">
        <v>221</v>
      </c>
      <c r="AF223" s="50"/>
    </row>
    <row r="224" customFormat="false" ht="15.75" hidden="false" customHeight="true" outlineLevel="0" collapsed="false">
      <c r="A224" s="30" t="s">
        <v>485</v>
      </c>
      <c r="B224" s="31"/>
      <c r="C224" s="32"/>
      <c r="D224" s="33"/>
      <c r="E224" s="31"/>
      <c r="F224" s="31"/>
      <c r="G224" s="31"/>
      <c r="H224" s="35"/>
      <c r="I224" s="35"/>
      <c r="J224" s="33"/>
      <c r="K224" s="35"/>
      <c r="L224" s="35"/>
      <c r="M224" s="36" t="n">
        <f aca="false">SUM(M225:M240)</f>
        <v>16</v>
      </c>
      <c r="N224" s="37" t="n">
        <f aca="false">SUM(N225:N240)</f>
        <v>16</v>
      </c>
      <c r="O224" s="37"/>
      <c r="P224" s="37" t="n">
        <f aca="false">SUM(P225:P240)</f>
        <v>0</v>
      </c>
      <c r="Q224" s="65" t="n">
        <f aca="false">SUM(Q225:Q240)</f>
        <v>16</v>
      </c>
      <c r="R224" s="37" t="n">
        <f aca="false">SUM(R225:R240)</f>
        <v>0</v>
      </c>
      <c r="S224" s="37" t="n">
        <f aca="false">SUM(S225:S240)</f>
        <v>0</v>
      </c>
      <c r="T224" s="37" t="n">
        <f aca="false">SUM(T225:T240)</f>
        <v>0</v>
      </c>
      <c r="U224" s="37" t="n">
        <f aca="false">SUM(U225:U240)</f>
        <v>0</v>
      </c>
      <c r="V224" s="37" t="n">
        <f aca="false">SUM(V225:V240)</f>
        <v>0</v>
      </c>
      <c r="W224" s="37" t="n">
        <f aca="false">SUM(W225:W240)</f>
        <v>0</v>
      </c>
      <c r="X224" s="37" t="n">
        <f aca="false">SUM(X225:X240)</f>
        <v>0</v>
      </c>
      <c r="Y224" s="37" t="n">
        <f aca="false">SUM(Y225:Y240)</f>
        <v>16</v>
      </c>
      <c r="Z224" s="37" t="n">
        <f aca="false">SUM(Z225:Z240)</f>
        <v>0</v>
      </c>
      <c r="AA224" s="37" t="n">
        <f aca="false">SUM(AA225:AA240)</f>
        <v>16</v>
      </c>
      <c r="AB224" s="37" t="n">
        <f aca="false">SUM(AB225:AB240)</f>
        <v>0</v>
      </c>
      <c r="AC224" s="37" t="n">
        <f aca="false">SUM(AC225:AC240)</f>
        <v>0</v>
      </c>
      <c r="AD224" s="38" t="n">
        <f aca="false">SUM(AD225:AD240)</f>
        <v>0</v>
      </c>
      <c r="AE224" s="39" t="n">
        <v>222</v>
      </c>
      <c r="AF224" s="50"/>
    </row>
    <row r="225" customFormat="false" ht="15.75" hidden="false" customHeight="true" outlineLevel="0" collapsed="false">
      <c r="A225" s="41" t="s">
        <v>486</v>
      </c>
      <c r="B225" s="42" t="s">
        <v>487</v>
      </c>
      <c r="C225" s="43" t="s">
        <v>41</v>
      </c>
      <c r="D225" s="44" t="s">
        <v>488</v>
      </c>
      <c r="E225" s="46" t="s">
        <v>71</v>
      </c>
      <c r="F225" s="42" t="n">
        <v>3</v>
      </c>
      <c r="G225" s="42" t="n">
        <v>1</v>
      </c>
      <c r="H225" s="46" t="s">
        <v>72</v>
      </c>
      <c r="I225" s="56" t="str">
        <f aca="false">A225</f>
        <v>S1.020.113</v>
      </c>
      <c r="J225" s="44"/>
      <c r="K225" s="46"/>
      <c r="L225" s="46"/>
      <c r="M225" s="47" t="n">
        <v>1</v>
      </c>
      <c r="N225" s="48" t="n">
        <v>1</v>
      </c>
      <c r="O225" s="48"/>
      <c r="P225" s="48" t="n">
        <v>0</v>
      </c>
      <c r="Q225" s="61" t="n">
        <v>1</v>
      </c>
      <c r="R225" s="48" t="n">
        <v>0</v>
      </c>
      <c r="S225" s="48" t="n">
        <v>0</v>
      </c>
      <c r="T225" s="48" t="n">
        <v>0</v>
      </c>
      <c r="U225" s="48" t="n">
        <v>0</v>
      </c>
      <c r="V225" s="48" t="n">
        <v>0</v>
      </c>
      <c r="W225" s="48" t="n">
        <v>0</v>
      </c>
      <c r="X225" s="48" t="n">
        <v>0</v>
      </c>
      <c r="Y225" s="48" t="n">
        <v>1</v>
      </c>
      <c r="Z225" s="48" t="n">
        <v>0</v>
      </c>
      <c r="AA225" s="48" t="n">
        <v>1</v>
      </c>
      <c r="AB225" s="48" t="n">
        <v>0</v>
      </c>
      <c r="AC225" s="48" t="n">
        <v>0</v>
      </c>
      <c r="AD225" s="49" t="n">
        <v>0</v>
      </c>
      <c r="AE225" s="39" t="n">
        <v>223</v>
      </c>
      <c r="AF225" s="50"/>
    </row>
    <row r="226" customFormat="false" ht="15" hidden="false" customHeight="true" outlineLevel="0" collapsed="false">
      <c r="A226" s="58" t="s">
        <v>489</v>
      </c>
      <c r="B226" s="46" t="s">
        <v>490</v>
      </c>
      <c r="C226" s="59" t="s">
        <v>41</v>
      </c>
      <c r="D226" s="63" t="s">
        <v>488</v>
      </c>
      <c r="E226" s="46" t="s">
        <v>71</v>
      </c>
      <c r="F226" s="46" t="n">
        <v>3</v>
      </c>
      <c r="G226" s="46" t="n">
        <v>1</v>
      </c>
      <c r="H226" s="46" t="s">
        <v>72</v>
      </c>
      <c r="I226" s="56" t="str">
        <f aca="false">A226</f>
        <v>S1.020.114</v>
      </c>
      <c r="J226" s="63"/>
      <c r="K226" s="46"/>
      <c r="L226" s="46"/>
      <c r="M226" s="60" t="n">
        <v>1</v>
      </c>
      <c r="N226" s="61" t="n">
        <v>1</v>
      </c>
      <c r="O226" s="61"/>
      <c r="P226" s="61" t="n">
        <v>0</v>
      </c>
      <c r="Q226" s="61" t="n">
        <v>1</v>
      </c>
      <c r="R226" s="61" t="n">
        <v>0</v>
      </c>
      <c r="S226" s="61" t="n">
        <v>0</v>
      </c>
      <c r="T226" s="61" t="n">
        <v>0</v>
      </c>
      <c r="U226" s="61" t="n">
        <v>0</v>
      </c>
      <c r="V226" s="61" t="n">
        <v>0</v>
      </c>
      <c r="W226" s="61" t="n">
        <v>0</v>
      </c>
      <c r="X226" s="61" t="n">
        <v>0</v>
      </c>
      <c r="Y226" s="61" t="n">
        <v>1</v>
      </c>
      <c r="Z226" s="61" t="n">
        <v>0</v>
      </c>
      <c r="AA226" s="61" t="n">
        <v>1</v>
      </c>
      <c r="AB226" s="61" t="n">
        <v>0</v>
      </c>
      <c r="AC226" s="61" t="n">
        <v>0</v>
      </c>
      <c r="AD226" s="62" t="n">
        <v>0</v>
      </c>
      <c r="AE226" s="39" t="n">
        <v>224</v>
      </c>
      <c r="AF226" s="50"/>
    </row>
    <row r="227" customFormat="false" ht="15" hidden="false" customHeight="true" outlineLevel="0" collapsed="false">
      <c r="A227" s="58" t="s">
        <v>491</v>
      </c>
      <c r="B227" s="46" t="s">
        <v>492</v>
      </c>
      <c r="C227" s="43" t="s">
        <v>41</v>
      </c>
      <c r="D227" s="44" t="s">
        <v>488</v>
      </c>
      <c r="E227" s="46" t="s">
        <v>83</v>
      </c>
      <c r="F227" s="42" t="n">
        <v>3</v>
      </c>
      <c r="G227" s="42" t="n">
        <v>1</v>
      </c>
      <c r="H227" s="46" t="s">
        <v>84</v>
      </c>
      <c r="I227" s="56" t="str">
        <f aca="false">A227</f>
        <v>S2.020.213</v>
      </c>
      <c r="J227" s="44"/>
      <c r="K227" s="46"/>
      <c r="L227" s="46"/>
      <c r="M227" s="60" t="n">
        <v>1</v>
      </c>
      <c r="N227" s="61" t="n">
        <v>1</v>
      </c>
      <c r="O227" s="61"/>
      <c r="P227" s="61" t="n">
        <v>0</v>
      </c>
      <c r="Q227" s="61" t="n">
        <v>1</v>
      </c>
      <c r="R227" s="61" t="n">
        <v>0</v>
      </c>
      <c r="S227" s="61" t="n">
        <v>0</v>
      </c>
      <c r="T227" s="61" t="n">
        <v>0</v>
      </c>
      <c r="U227" s="61" t="n">
        <v>0</v>
      </c>
      <c r="V227" s="61" t="n">
        <v>0</v>
      </c>
      <c r="W227" s="61" t="n">
        <v>0</v>
      </c>
      <c r="X227" s="61" t="n">
        <v>0</v>
      </c>
      <c r="Y227" s="61" t="n">
        <v>1</v>
      </c>
      <c r="Z227" s="61" t="n">
        <v>0</v>
      </c>
      <c r="AA227" s="61" t="n">
        <v>1</v>
      </c>
      <c r="AB227" s="61" t="n">
        <v>0</v>
      </c>
      <c r="AC227" s="61" t="n">
        <v>0</v>
      </c>
      <c r="AD227" s="62" t="n">
        <v>0</v>
      </c>
      <c r="AE227" s="28" t="n">
        <v>225</v>
      </c>
      <c r="AF227" s="50"/>
    </row>
    <row r="228" customFormat="false" ht="15" hidden="false" customHeight="true" outlineLevel="0" collapsed="false">
      <c r="A228" s="58" t="s">
        <v>493</v>
      </c>
      <c r="B228" s="46" t="s">
        <v>494</v>
      </c>
      <c r="C228" s="59" t="s">
        <v>41</v>
      </c>
      <c r="D228" s="63" t="s">
        <v>488</v>
      </c>
      <c r="E228" s="46" t="s">
        <v>83</v>
      </c>
      <c r="F228" s="46" t="n">
        <v>3</v>
      </c>
      <c r="G228" s="46" t="n">
        <v>1</v>
      </c>
      <c r="H228" s="46" t="s">
        <v>84</v>
      </c>
      <c r="I228" s="56" t="str">
        <f aca="false">A228</f>
        <v>S2.020.214</v>
      </c>
      <c r="J228" s="63"/>
      <c r="K228" s="46"/>
      <c r="L228" s="46"/>
      <c r="M228" s="60" t="n">
        <v>1</v>
      </c>
      <c r="N228" s="61" t="n">
        <v>1</v>
      </c>
      <c r="O228" s="61"/>
      <c r="P228" s="61" t="n">
        <v>0</v>
      </c>
      <c r="Q228" s="61" t="n">
        <v>1</v>
      </c>
      <c r="R228" s="61" t="n">
        <v>0</v>
      </c>
      <c r="S228" s="61" t="n">
        <v>0</v>
      </c>
      <c r="T228" s="61" t="n">
        <v>0</v>
      </c>
      <c r="U228" s="61" t="n">
        <v>0</v>
      </c>
      <c r="V228" s="61" t="n">
        <v>0</v>
      </c>
      <c r="W228" s="61" t="n">
        <v>0</v>
      </c>
      <c r="X228" s="61" t="n">
        <v>0</v>
      </c>
      <c r="Y228" s="61" t="n">
        <v>1</v>
      </c>
      <c r="Z228" s="61" t="n">
        <v>0</v>
      </c>
      <c r="AA228" s="61" t="n">
        <v>1</v>
      </c>
      <c r="AB228" s="61" t="n">
        <v>0</v>
      </c>
      <c r="AC228" s="61" t="n">
        <v>0</v>
      </c>
      <c r="AD228" s="62" t="n">
        <v>0</v>
      </c>
      <c r="AE228" s="28" t="n">
        <v>226</v>
      </c>
      <c r="AF228" s="50"/>
    </row>
    <row r="229" customFormat="false" ht="15" hidden="false" customHeight="true" outlineLevel="0" collapsed="false">
      <c r="A229" s="58" t="s">
        <v>495</v>
      </c>
      <c r="B229" s="64" t="s">
        <v>496</v>
      </c>
      <c r="C229" s="43" t="s">
        <v>41</v>
      </c>
      <c r="D229" s="44" t="s">
        <v>488</v>
      </c>
      <c r="E229" s="46" t="s">
        <v>95</v>
      </c>
      <c r="F229" s="42" t="n">
        <v>3</v>
      </c>
      <c r="G229" s="42" t="n">
        <v>1</v>
      </c>
      <c r="H229" s="46" t="s">
        <v>96</v>
      </c>
      <c r="I229" s="56" t="str">
        <f aca="false">A229</f>
        <v>S3.020.313</v>
      </c>
      <c r="J229" s="44"/>
      <c r="K229" s="46"/>
      <c r="L229" s="46"/>
      <c r="M229" s="60" t="n">
        <v>1</v>
      </c>
      <c r="N229" s="61" t="n">
        <v>1</v>
      </c>
      <c r="O229" s="61"/>
      <c r="P229" s="61" t="n">
        <v>0</v>
      </c>
      <c r="Q229" s="61" t="n">
        <v>1</v>
      </c>
      <c r="R229" s="61" t="n">
        <v>0</v>
      </c>
      <c r="S229" s="61" t="n">
        <v>0</v>
      </c>
      <c r="T229" s="61" t="n">
        <v>0</v>
      </c>
      <c r="U229" s="61" t="n">
        <v>0</v>
      </c>
      <c r="V229" s="61" t="n">
        <v>0</v>
      </c>
      <c r="W229" s="61" t="n">
        <v>0</v>
      </c>
      <c r="X229" s="61" t="n">
        <v>0</v>
      </c>
      <c r="Y229" s="61" t="n">
        <v>1</v>
      </c>
      <c r="Z229" s="61" t="n">
        <v>0</v>
      </c>
      <c r="AA229" s="61" t="n">
        <v>1</v>
      </c>
      <c r="AB229" s="61" t="n">
        <v>0</v>
      </c>
      <c r="AC229" s="61" t="n">
        <v>0</v>
      </c>
      <c r="AD229" s="62" t="n">
        <v>0</v>
      </c>
      <c r="AE229" s="39" t="n">
        <v>227</v>
      </c>
      <c r="AF229" s="50"/>
    </row>
    <row r="230" customFormat="false" ht="15" hidden="false" customHeight="true" outlineLevel="0" collapsed="false">
      <c r="A230" s="58" t="s">
        <v>497</v>
      </c>
      <c r="B230" s="64" t="s">
        <v>498</v>
      </c>
      <c r="C230" s="59" t="s">
        <v>41</v>
      </c>
      <c r="D230" s="63" t="s">
        <v>488</v>
      </c>
      <c r="E230" s="46" t="s">
        <v>95</v>
      </c>
      <c r="F230" s="46" t="n">
        <v>3</v>
      </c>
      <c r="G230" s="46" t="n">
        <v>1</v>
      </c>
      <c r="H230" s="46" t="s">
        <v>96</v>
      </c>
      <c r="I230" s="56" t="str">
        <f aca="false">A230</f>
        <v>S3.020.314</v>
      </c>
      <c r="J230" s="63"/>
      <c r="K230" s="46"/>
      <c r="L230" s="46"/>
      <c r="M230" s="60" t="n">
        <v>1</v>
      </c>
      <c r="N230" s="61" t="n">
        <v>1</v>
      </c>
      <c r="O230" s="61"/>
      <c r="P230" s="61" t="n">
        <v>0</v>
      </c>
      <c r="Q230" s="61" t="n">
        <v>1</v>
      </c>
      <c r="R230" s="61" t="n">
        <v>0</v>
      </c>
      <c r="S230" s="61" t="n">
        <v>0</v>
      </c>
      <c r="T230" s="61" t="n">
        <v>0</v>
      </c>
      <c r="U230" s="61" t="n">
        <v>0</v>
      </c>
      <c r="V230" s="61" t="n">
        <v>0</v>
      </c>
      <c r="W230" s="61" t="n">
        <v>0</v>
      </c>
      <c r="X230" s="61" t="n">
        <v>0</v>
      </c>
      <c r="Y230" s="61" t="n">
        <v>1</v>
      </c>
      <c r="Z230" s="61" t="n">
        <v>0</v>
      </c>
      <c r="AA230" s="61" t="n">
        <v>1</v>
      </c>
      <c r="AB230" s="61" t="n">
        <v>0</v>
      </c>
      <c r="AC230" s="61" t="n">
        <v>0</v>
      </c>
      <c r="AD230" s="62" t="n">
        <v>0</v>
      </c>
      <c r="AE230" s="39" t="n">
        <v>228</v>
      </c>
      <c r="AF230" s="50"/>
    </row>
    <row r="231" customFormat="false" ht="14.15" hidden="false" customHeight="false" outlineLevel="0" collapsed="false">
      <c r="A231" s="58" t="s">
        <v>499</v>
      </c>
      <c r="B231" s="46" t="s">
        <v>500</v>
      </c>
      <c r="C231" s="43" t="s">
        <v>41</v>
      </c>
      <c r="D231" s="44" t="s">
        <v>488</v>
      </c>
      <c r="E231" s="46" t="s">
        <v>107</v>
      </c>
      <c r="F231" s="42" t="n">
        <v>3</v>
      </c>
      <c r="G231" s="42" t="n">
        <v>1</v>
      </c>
      <c r="H231" s="46" t="s">
        <v>108</v>
      </c>
      <c r="I231" s="56" t="str">
        <f aca="false">A231</f>
        <v>S4.020.413</v>
      </c>
      <c r="J231" s="44"/>
      <c r="K231" s="46"/>
      <c r="L231" s="46"/>
      <c r="M231" s="60" t="n">
        <v>1</v>
      </c>
      <c r="N231" s="61" t="n">
        <v>1</v>
      </c>
      <c r="O231" s="61"/>
      <c r="P231" s="61" t="n">
        <v>0</v>
      </c>
      <c r="Q231" s="61" t="n">
        <v>1</v>
      </c>
      <c r="R231" s="61" t="n">
        <v>0</v>
      </c>
      <c r="S231" s="61" t="n">
        <v>0</v>
      </c>
      <c r="T231" s="61" t="n">
        <v>0</v>
      </c>
      <c r="U231" s="61" t="n">
        <v>0</v>
      </c>
      <c r="V231" s="61" t="n">
        <v>0</v>
      </c>
      <c r="W231" s="61" t="n">
        <v>0</v>
      </c>
      <c r="X231" s="61" t="n">
        <v>0</v>
      </c>
      <c r="Y231" s="61" t="n">
        <v>1</v>
      </c>
      <c r="Z231" s="61" t="n">
        <v>0</v>
      </c>
      <c r="AA231" s="61" t="n">
        <v>1</v>
      </c>
      <c r="AB231" s="61" t="n">
        <v>0</v>
      </c>
      <c r="AC231" s="61" t="n">
        <v>0</v>
      </c>
      <c r="AD231" s="62" t="n">
        <v>0</v>
      </c>
      <c r="AE231" s="39" t="n">
        <v>229</v>
      </c>
      <c r="AF231" s="50"/>
    </row>
    <row r="232" customFormat="false" ht="14.15" hidden="false" customHeight="false" outlineLevel="0" collapsed="false">
      <c r="A232" s="58" t="s">
        <v>501</v>
      </c>
      <c r="B232" s="46" t="s">
        <v>502</v>
      </c>
      <c r="C232" s="59" t="s">
        <v>41</v>
      </c>
      <c r="D232" s="63" t="s">
        <v>488</v>
      </c>
      <c r="E232" s="46" t="s">
        <v>107</v>
      </c>
      <c r="F232" s="46" t="n">
        <v>3</v>
      </c>
      <c r="G232" s="46" t="n">
        <v>1</v>
      </c>
      <c r="H232" s="46" t="s">
        <v>108</v>
      </c>
      <c r="I232" s="56" t="str">
        <f aca="false">A232</f>
        <v>S4.020.414</v>
      </c>
      <c r="J232" s="63"/>
      <c r="K232" s="46"/>
      <c r="L232" s="46"/>
      <c r="M232" s="60" t="n">
        <v>1</v>
      </c>
      <c r="N232" s="61" t="n">
        <v>1</v>
      </c>
      <c r="O232" s="61"/>
      <c r="P232" s="61" t="n">
        <v>0</v>
      </c>
      <c r="Q232" s="61" t="n">
        <v>1</v>
      </c>
      <c r="R232" s="61" t="n">
        <v>0</v>
      </c>
      <c r="S232" s="61" t="n">
        <v>0</v>
      </c>
      <c r="T232" s="61" t="n">
        <v>0</v>
      </c>
      <c r="U232" s="61" t="n">
        <v>0</v>
      </c>
      <c r="V232" s="61" t="n">
        <v>0</v>
      </c>
      <c r="W232" s="61" t="n">
        <v>0</v>
      </c>
      <c r="X232" s="61" t="n">
        <v>0</v>
      </c>
      <c r="Y232" s="61" t="n">
        <v>1</v>
      </c>
      <c r="Z232" s="61" t="n">
        <v>0</v>
      </c>
      <c r="AA232" s="61" t="n">
        <v>1</v>
      </c>
      <c r="AB232" s="61" t="n">
        <v>0</v>
      </c>
      <c r="AC232" s="61" t="n">
        <v>0</v>
      </c>
      <c r="AD232" s="62" t="n">
        <v>0</v>
      </c>
      <c r="AE232" s="28" t="n">
        <v>230</v>
      </c>
      <c r="AF232" s="50"/>
    </row>
    <row r="233" customFormat="false" ht="14.15" hidden="false" customHeight="false" outlineLevel="0" collapsed="false">
      <c r="A233" s="58" t="s">
        <v>503</v>
      </c>
      <c r="B233" s="46" t="s">
        <v>504</v>
      </c>
      <c r="C233" s="43" t="s">
        <v>41</v>
      </c>
      <c r="D233" s="44" t="s">
        <v>488</v>
      </c>
      <c r="E233" s="46" t="s">
        <v>119</v>
      </c>
      <c r="F233" s="42" t="n">
        <v>3</v>
      </c>
      <c r="G233" s="42" t="n">
        <v>1</v>
      </c>
      <c r="H233" s="46" t="s">
        <v>120</v>
      </c>
      <c r="I233" s="56" t="str">
        <f aca="false">A233</f>
        <v>S5.020.513</v>
      </c>
      <c r="J233" s="44"/>
      <c r="K233" s="46"/>
      <c r="L233" s="46"/>
      <c r="M233" s="60" t="n">
        <v>1</v>
      </c>
      <c r="N233" s="61" t="n">
        <v>1</v>
      </c>
      <c r="O233" s="61"/>
      <c r="P233" s="61" t="n">
        <v>0</v>
      </c>
      <c r="Q233" s="61" t="n">
        <v>1</v>
      </c>
      <c r="R233" s="61" t="n">
        <v>0</v>
      </c>
      <c r="S233" s="61" t="n">
        <v>0</v>
      </c>
      <c r="T233" s="61" t="n">
        <v>0</v>
      </c>
      <c r="U233" s="61" t="n">
        <v>0</v>
      </c>
      <c r="V233" s="61" t="n">
        <v>0</v>
      </c>
      <c r="W233" s="61" t="n">
        <v>0</v>
      </c>
      <c r="X233" s="61" t="n">
        <v>0</v>
      </c>
      <c r="Y233" s="61" t="n">
        <v>1</v>
      </c>
      <c r="Z233" s="61" t="n">
        <v>0</v>
      </c>
      <c r="AA233" s="61" t="n">
        <v>1</v>
      </c>
      <c r="AB233" s="61" t="n">
        <v>0</v>
      </c>
      <c r="AC233" s="61" t="n">
        <v>0</v>
      </c>
      <c r="AD233" s="62" t="n">
        <v>0</v>
      </c>
      <c r="AE233" s="28" t="n">
        <v>231</v>
      </c>
      <c r="AF233" s="50"/>
    </row>
    <row r="234" customFormat="false" ht="14.15" hidden="false" customHeight="false" outlineLevel="0" collapsed="false">
      <c r="A234" s="58" t="s">
        <v>505</v>
      </c>
      <c r="B234" s="46" t="s">
        <v>506</v>
      </c>
      <c r="C234" s="59" t="s">
        <v>41</v>
      </c>
      <c r="D234" s="63" t="s">
        <v>488</v>
      </c>
      <c r="E234" s="46" t="s">
        <v>119</v>
      </c>
      <c r="F234" s="46" t="n">
        <v>3</v>
      </c>
      <c r="G234" s="46" t="n">
        <v>1</v>
      </c>
      <c r="H234" s="46" t="s">
        <v>120</v>
      </c>
      <c r="I234" s="56" t="str">
        <f aca="false">A234</f>
        <v>S5.020.514</v>
      </c>
      <c r="J234" s="63"/>
      <c r="K234" s="46"/>
      <c r="L234" s="46"/>
      <c r="M234" s="60" t="n">
        <v>1</v>
      </c>
      <c r="N234" s="61" t="n">
        <v>1</v>
      </c>
      <c r="O234" s="61"/>
      <c r="P234" s="61" t="n">
        <v>0</v>
      </c>
      <c r="Q234" s="61" t="n">
        <v>1</v>
      </c>
      <c r="R234" s="61" t="n">
        <v>0</v>
      </c>
      <c r="S234" s="61" t="n">
        <v>0</v>
      </c>
      <c r="T234" s="61" t="n">
        <v>0</v>
      </c>
      <c r="U234" s="61" t="n">
        <v>0</v>
      </c>
      <c r="V234" s="61" t="n">
        <v>0</v>
      </c>
      <c r="W234" s="61" t="n">
        <v>0</v>
      </c>
      <c r="X234" s="61" t="n">
        <v>0</v>
      </c>
      <c r="Y234" s="61" t="n">
        <v>1</v>
      </c>
      <c r="Z234" s="61" t="n">
        <v>0</v>
      </c>
      <c r="AA234" s="61" t="n">
        <v>1</v>
      </c>
      <c r="AB234" s="61" t="n">
        <v>0</v>
      </c>
      <c r="AC234" s="61" t="n">
        <v>0</v>
      </c>
      <c r="AD234" s="62" t="n">
        <v>0</v>
      </c>
      <c r="AE234" s="39" t="n">
        <v>232</v>
      </c>
      <c r="AF234" s="50"/>
    </row>
    <row r="235" customFormat="false" ht="14.15" hidden="false" customHeight="false" outlineLevel="0" collapsed="false">
      <c r="A235" s="58" t="s">
        <v>507</v>
      </c>
      <c r="B235" s="46" t="s">
        <v>508</v>
      </c>
      <c r="C235" s="43" t="s">
        <v>41</v>
      </c>
      <c r="D235" s="44" t="s">
        <v>488</v>
      </c>
      <c r="E235" s="46" t="s">
        <v>131</v>
      </c>
      <c r="F235" s="42" t="n">
        <v>3</v>
      </c>
      <c r="G235" s="42" t="n">
        <v>1</v>
      </c>
      <c r="H235" s="46" t="s">
        <v>132</v>
      </c>
      <c r="I235" s="56" t="str">
        <f aca="false">A235</f>
        <v>S6.020.613</v>
      </c>
      <c r="J235" s="44"/>
      <c r="K235" s="46"/>
      <c r="L235" s="46"/>
      <c r="M235" s="60" t="n">
        <v>1</v>
      </c>
      <c r="N235" s="61" t="n">
        <v>1</v>
      </c>
      <c r="O235" s="61"/>
      <c r="P235" s="61" t="n">
        <v>0</v>
      </c>
      <c r="Q235" s="61" t="n">
        <v>1</v>
      </c>
      <c r="R235" s="61" t="n">
        <v>0</v>
      </c>
      <c r="S235" s="61" t="n">
        <v>0</v>
      </c>
      <c r="T235" s="61" t="n">
        <v>0</v>
      </c>
      <c r="U235" s="61" t="n">
        <v>0</v>
      </c>
      <c r="V235" s="61" t="n">
        <v>0</v>
      </c>
      <c r="W235" s="61" t="n">
        <v>0</v>
      </c>
      <c r="X235" s="61" t="n">
        <v>0</v>
      </c>
      <c r="Y235" s="61" t="n">
        <v>1</v>
      </c>
      <c r="Z235" s="61" t="n">
        <v>0</v>
      </c>
      <c r="AA235" s="61" t="n">
        <v>1</v>
      </c>
      <c r="AB235" s="61" t="n">
        <v>0</v>
      </c>
      <c r="AC235" s="61" t="n">
        <v>0</v>
      </c>
      <c r="AD235" s="62" t="n">
        <v>0</v>
      </c>
      <c r="AE235" s="39" t="n">
        <v>233</v>
      </c>
      <c r="AF235" s="50"/>
    </row>
    <row r="236" customFormat="false" ht="14.15" hidden="false" customHeight="false" outlineLevel="0" collapsed="false">
      <c r="A236" s="58" t="s">
        <v>509</v>
      </c>
      <c r="B236" s="46" t="s">
        <v>510</v>
      </c>
      <c r="C236" s="59" t="s">
        <v>41</v>
      </c>
      <c r="D236" s="63" t="s">
        <v>488</v>
      </c>
      <c r="E236" s="46" t="s">
        <v>131</v>
      </c>
      <c r="F236" s="46" t="n">
        <v>3</v>
      </c>
      <c r="G236" s="46" t="n">
        <v>1</v>
      </c>
      <c r="H236" s="46" t="s">
        <v>132</v>
      </c>
      <c r="I236" s="56" t="str">
        <f aca="false">A236</f>
        <v>S6.020.614</v>
      </c>
      <c r="J236" s="63"/>
      <c r="K236" s="46"/>
      <c r="L236" s="46"/>
      <c r="M236" s="60" t="n">
        <v>1</v>
      </c>
      <c r="N236" s="61" t="n">
        <v>1</v>
      </c>
      <c r="O236" s="61"/>
      <c r="P236" s="61" t="n">
        <v>0</v>
      </c>
      <c r="Q236" s="61" t="n">
        <v>1</v>
      </c>
      <c r="R236" s="61" t="n">
        <v>0</v>
      </c>
      <c r="S236" s="61" t="n">
        <v>0</v>
      </c>
      <c r="T236" s="61" t="n">
        <v>0</v>
      </c>
      <c r="U236" s="61" t="n">
        <v>0</v>
      </c>
      <c r="V236" s="61" t="n">
        <v>0</v>
      </c>
      <c r="W236" s="61" t="n">
        <v>0</v>
      </c>
      <c r="X236" s="61" t="n">
        <v>0</v>
      </c>
      <c r="Y236" s="61" t="n">
        <v>1</v>
      </c>
      <c r="Z236" s="61" t="n">
        <v>0</v>
      </c>
      <c r="AA236" s="61" t="n">
        <v>1</v>
      </c>
      <c r="AB236" s="61" t="n">
        <v>0</v>
      </c>
      <c r="AC236" s="61" t="n">
        <v>0</v>
      </c>
      <c r="AD236" s="62" t="n">
        <v>0</v>
      </c>
      <c r="AE236" s="39" t="n">
        <v>234</v>
      </c>
      <c r="AF236" s="50"/>
    </row>
    <row r="237" customFormat="false" ht="15" hidden="false" customHeight="true" outlineLevel="0" collapsed="false">
      <c r="A237" s="58" t="s">
        <v>511</v>
      </c>
      <c r="B237" s="46" t="s">
        <v>512</v>
      </c>
      <c r="C237" s="43" t="s">
        <v>41</v>
      </c>
      <c r="D237" s="44" t="s">
        <v>488</v>
      </c>
      <c r="E237" s="46" t="s">
        <v>143</v>
      </c>
      <c r="F237" s="42" t="n">
        <v>3</v>
      </c>
      <c r="G237" s="42" t="n">
        <v>1</v>
      </c>
      <c r="H237" s="46" t="s">
        <v>144</v>
      </c>
      <c r="I237" s="56" t="str">
        <f aca="false">A237</f>
        <v>S7.020.713</v>
      </c>
      <c r="J237" s="44"/>
      <c r="K237" s="46"/>
      <c r="L237" s="46"/>
      <c r="M237" s="60" t="n">
        <v>1</v>
      </c>
      <c r="N237" s="61" t="n">
        <v>1</v>
      </c>
      <c r="O237" s="61"/>
      <c r="P237" s="61" t="n">
        <v>0</v>
      </c>
      <c r="Q237" s="61" t="n">
        <v>1</v>
      </c>
      <c r="R237" s="61" t="n">
        <v>0</v>
      </c>
      <c r="S237" s="61" t="n">
        <v>0</v>
      </c>
      <c r="T237" s="61" t="n">
        <v>0</v>
      </c>
      <c r="U237" s="61" t="n">
        <v>0</v>
      </c>
      <c r="V237" s="61" t="n">
        <v>0</v>
      </c>
      <c r="W237" s="61" t="n">
        <v>0</v>
      </c>
      <c r="X237" s="61" t="n">
        <v>0</v>
      </c>
      <c r="Y237" s="61" t="n">
        <v>1</v>
      </c>
      <c r="Z237" s="61" t="n">
        <v>0</v>
      </c>
      <c r="AA237" s="61" t="n">
        <v>1</v>
      </c>
      <c r="AB237" s="61" t="n">
        <v>0</v>
      </c>
      <c r="AC237" s="61" t="n">
        <v>0</v>
      </c>
      <c r="AD237" s="62" t="n">
        <v>0</v>
      </c>
      <c r="AE237" s="28" t="n">
        <v>235</v>
      </c>
      <c r="AF237" s="50"/>
    </row>
    <row r="238" customFormat="false" ht="15" hidden="false" customHeight="true" outlineLevel="0" collapsed="false">
      <c r="A238" s="58" t="s">
        <v>513</v>
      </c>
      <c r="B238" s="46" t="s">
        <v>514</v>
      </c>
      <c r="C238" s="59" t="s">
        <v>41</v>
      </c>
      <c r="D238" s="63" t="s">
        <v>488</v>
      </c>
      <c r="E238" s="46" t="s">
        <v>143</v>
      </c>
      <c r="F238" s="46" t="n">
        <v>3</v>
      </c>
      <c r="G238" s="46" t="n">
        <v>1</v>
      </c>
      <c r="H238" s="46" t="s">
        <v>144</v>
      </c>
      <c r="I238" s="56" t="str">
        <f aca="false">A238</f>
        <v>S7.020.714</v>
      </c>
      <c r="J238" s="63"/>
      <c r="K238" s="46"/>
      <c r="L238" s="46"/>
      <c r="M238" s="60" t="n">
        <v>1</v>
      </c>
      <c r="N238" s="61" t="n">
        <v>1</v>
      </c>
      <c r="O238" s="61"/>
      <c r="P238" s="61" t="n">
        <v>0</v>
      </c>
      <c r="Q238" s="61" t="n">
        <v>1</v>
      </c>
      <c r="R238" s="61" t="n">
        <v>0</v>
      </c>
      <c r="S238" s="61" t="n">
        <v>0</v>
      </c>
      <c r="T238" s="61" t="n">
        <v>0</v>
      </c>
      <c r="U238" s="61" t="n">
        <v>0</v>
      </c>
      <c r="V238" s="61" t="n">
        <v>0</v>
      </c>
      <c r="W238" s="61" t="n">
        <v>0</v>
      </c>
      <c r="X238" s="61" t="n">
        <v>0</v>
      </c>
      <c r="Y238" s="61" t="n">
        <v>1</v>
      </c>
      <c r="Z238" s="61" t="n">
        <v>0</v>
      </c>
      <c r="AA238" s="61" t="n">
        <v>1</v>
      </c>
      <c r="AB238" s="61" t="n">
        <v>0</v>
      </c>
      <c r="AC238" s="61" t="n">
        <v>0</v>
      </c>
      <c r="AD238" s="62" t="n">
        <v>0</v>
      </c>
      <c r="AE238" s="28" t="n">
        <v>236</v>
      </c>
      <c r="AF238" s="50"/>
    </row>
    <row r="239" customFormat="false" ht="15" hidden="false" customHeight="true" outlineLevel="0" collapsed="false">
      <c r="A239" s="58" t="s">
        <v>515</v>
      </c>
      <c r="B239" s="46" t="s">
        <v>516</v>
      </c>
      <c r="C239" s="43" t="s">
        <v>41</v>
      </c>
      <c r="D239" s="44" t="s">
        <v>488</v>
      </c>
      <c r="E239" s="46" t="s">
        <v>155</v>
      </c>
      <c r="F239" s="42" t="n">
        <v>3</v>
      </c>
      <c r="G239" s="42" t="n">
        <v>1</v>
      </c>
      <c r="H239" s="46" t="s">
        <v>156</v>
      </c>
      <c r="I239" s="56" t="str">
        <f aca="false">A239</f>
        <v>S8.020.813</v>
      </c>
      <c r="J239" s="44"/>
      <c r="K239" s="46"/>
      <c r="L239" s="46"/>
      <c r="M239" s="60" t="n">
        <v>1</v>
      </c>
      <c r="N239" s="61" t="n">
        <v>1</v>
      </c>
      <c r="O239" s="61"/>
      <c r="P239" s="61" t="n">
        <v>0</v>
      </c>
      <c r="Q239" s="61" t="n">
        <v>1</v>
      </c>
      <c r="R239" s="61" t="n">
        <v>0</v>
      </c>
      <c r="S239" s="61" t="n">
        <v>0</v>
      </c>
      <c r="T239" s="61" t="n">
        <v>0</v>
      </c>
      <c r="U239" s="61" t="n">
        <v>0</v>
      </c>
      <c r="V239" s="61" t="n">
        <v>0</v>
      </c>
      <c r="W239" s="61" t="n">
        <v>0</v>
      </c>
      <c r="X239" s="61" t="n">
        <v>0</v>
      </c>
      <c r="Y239" s="61" t="n">
        <v>1</v>
      </c>
      <c r="Z239" s="61" t="n">
        <v>0</v>
      </c>
      <c r="AA239" s="61" t="n">
        <v>1</v>
      </c>
      <c r="AB239" s="61" t="n">
        <v>0</v>
      </c>
      <c r="AC239" s="61" t="n">
        <v>0</v>
      </c>
      <c r="AD239" s="62" t="n">
        <v>0</v>
      </c>
      <c r="AE239" s="39" t="n">
        <v>237</v>
      </c>
      <c r="AF239" s="50"/>
    </row>
    <row r="240" customFormat="false" ht="15" hidden="false" customHeight="true" outlineLevel="0" collapsed="false">
      <c r="A240" s="58" t="s">
        <v>517</v>
      </c>
      <c r="B240" s="46" t="s">
        <v>518</v>
      </c>
      <c r="C240" s="59" t="s">
        <v>41</v>
      </c>
      <c r="D240" s="63" t="s">
        <v>488</v>
      </c>
      <c r="E240" s="46" t="s">
        <v>155</v>
      </c>
      <c r="F240" s="46" t="n">
        <v>3</v>
      </c>
      <c r="G240" s="46" t="n">
        <v>1</v>
      </c>
      <c r="H240" s="46" t="s">
        <v>156</v>
      </c>
      <c r="I240" s="56" t="str">
        <f aca="false">A240</f>
        <v>S8.020.814</v>
      </c>
      <c r="J240" s="63"/>
      <c r="K240" s="46"/>
      <c r="L240" s="46"/>
      <c r="M240" s="60" t="n">
        <v>1</v>
      </c>
      <c r="N240" s="61" t="n">
        <v>1</v>
      </c>
      <c r="O240" s="61"/>
      <c r="P240" s="61" t="n">
        <v>0</v>
      </c>
      <c r="Q240" s="61" t="n">
        <v>1</v>
      </c>
      <c r="R240" s="61" t="n">
        <v>0</v>
      </c>
      <c r="S240" s="61" t="n">
        <v>0</v>
      </c>
      <c r="T240" s="61" t="n">
        <v>0</v>
      </c>
      <c r="U240" s="61" t="n">
        <v>0</v>
      </c>
      <c r="V240" s="61" t="n">
        <v>0</v>
      </c>
      <c r="W240" s="61" t="n">
        <v>0</v>
      </c>
      <c r="X240" s="61" t="n">
        <v>0</v>
      </c>
      <c r="Y240" s="61" t="n">
        <v>1</v>
      </c>
      <c r="Z240" s="61" t="n">
        <v>0</v>
      </c>
      <c r="AA240" s="61" t="n">
        <v>1</v>
      </c>
      <c r="AB240" s="61" t="n">
        <v>0</v>
      </c>
      <c r="AC240" s="61" t="n">
        <v>0</v>
      </c>
      <c r="AD240" s="62" t="n">
        <v>0</v>
      </c>
      <c r="AE240" s="39" t="n">
        <v>238</v>
      </c>
      <c r="AF240" s="50"/>
    </row>
    <row r="241" customFormat="false" ht="15.75" hidden="false" customHeight="true" outlineLevel="0" collapsed="false">
      <c r="A241" s="30" t="s">
        <v>519</v>
      </c>
      <c r="B241" s="31"/>
      <c r="C241" s="32"/>
      <c r="D241" s="33"/>
      <c r="E241" s="31"/>
      <c r="F241" s="31"/>
      <c r="G241" s="31"/>
      <c r="H241" s="35"/>
      <c r="I241" s="35"/>
      <c r="J241" s="33"/>
      <c r="K241" s="35"/>
      <c r="L241" s="35"/>
      <c r="M241" s="36" t="n">
        <f aca="false">SUM(M242)</f>
        <v>1</v>
      </c>
      <c r="N241" s="37" t="n">
        <f aca="false">SUM(N242)</f>
        <v>1</v>
      </c>
      <c r="O241" s="37"/>
      <c r="P241" s="37" t="n">
        <f aca="false">SUM(P242)</f>
        <v>0</v>
      </c>
      <c r="Q241" s="65" t="n">
        <f aca="false">SUM(Q242)</f>
        <v>1</v>
      </c>
      <c r="R241" s="37" t="n">
        <f aca="false">SUM(R242)</f>
        <v>1</v>
      </c>
      <c r="S241" s="37" t="n">
        <f aca="false">SUM(S242)</f>
        <v>0</v>
      </c>
      <c r="T241" s="37" t="n">
        <f aca="false">SUM(T242)</f>
        <v>0</v>
      </c>
      <c r="U241" s="37" t="n">
        <f aca="false">SUM(U242)</f>
        <v>0</v>
      </c>
      <c r="V241" s="37" t="n">
        <f aca="false">SUM(V242)</f>
        <v>0</v>
      </c>
      <c r="W241" s="37" t="n">
        <f aca="false">SUM(W242)</f>
        <v>0</v>
      </c>
      <c r="X241" s="37" t="n">
        <f aca="false">SUM(X242)</f>
        <v>1</v>
      </c>
      <c r="Y241" s="37" t="n">
        <f aca="false">SUM(Y242)</f>
        <v>0</v>
      </c>
      <c r="Z241" s="37" t="n">
        <f aca="false">SUM(Z242)</f>
        <v>0</v>
      </c>
      <c r="AA241" s="37" t="n">
        <f aca="false">SUM(AA242)</f>
        <v>6</v>
      </c>
      <c r="AB241" s="37" t="n">
        <f aca="false">SUM(AB242)</f>
        <v>0</v>
      </c>
      <c r="AC241" s="37" t="n">
        <f aca="false">SUM(AC242)</f>
        <v>0</v>
      </c>
      <c r="AD241" s="38" t="n">
        <f aca="false">SUM(AD242)</f>
        <v>0</v>
      </c>
      <c r="AE241" s="39" t="n">
        <v>239</v>
      </c>
      <c r="AF241" s="50"/>
    </row>
    <row r="242" customFormat="false" ht="15.75" hidden="false" customHeight="true" outlineLevel="0" collapsed="false">
      <c r="A242" s="41" t="s">
        <v>520</v>
      </c>
      <c r="B242" s="42" t="s">
        <v>521</v>
      </c>
      <c r="C242" s="43" t="s">
        <v>41</v>
      </c>
      <c r="D242" s="44" t="s">
        <v>522</v>
      </c>
      <c r="E242" s="46" t="s">
        <v>57</v>
      </c>
      <c r="F242" s="42" t="n">
        <v>6</v>
      </c>
      <c r="G242" s="42" t="n">
        <v>2</v>
      </c>
      <c r="H242" s="46" t="s">
        <v>58</v>
      </c>
      <c r="I242" s="45" t="s">
        <v>523</v>
      </c>
      <c r="J242" s="44"/>
      <c r="K242" s="46"/>
      <c r="L242" s="46"/>
      <c r="M242" s="47" t="n">
        <v>1</v>
      </c>
      <c r="N242" s="48" t="n">
        <v>1</v>
      </c>
      <c r="O242" s="48"/>
      <c r="P242" s="48" t="n">
        <v>0</v>
      </c>
      <c r="Q242" s="61" t="n">
        <v>1</v>
      </c>
      <c r="R242" s="48" t="n">
        <v>1</v>
      </c>
      <c r="S242" s="48" t="n">
        <v>0</v>
      </c>
      <c r="T242" s="48" t="n">
        <v>0</v>
      </c>
      <c r="U242" s="48" t="n">
        <v>0</v>
      </c>
      <c r="V242" s="48" t="n">
        <v>0</v>
      </c>
      <c r="W242" s="48" t="n">
        <v>0</v>
      </c>
      <c r="X242" s="48" t="n">
        <v>1</v>
      </c>
      <c r="Y242" s="48" t="n">
        <v>0</v>
      </c>
      <c r="Z242" s="48" t="n">
        <v>0</v>
      </c>
      <c r="AA242" s="48" t="n">
        <v>6</v>
      </c>
      <c r="AB242" s="48" t="n">
        <v>0</v>
      </c>
      <c r="AC242" s="48" t="n">
        <v>0</v>
      </c>
      <c r="AD242" s="49" t="n">
        <v>0</v>
      </c>
      <c r="AE242" s="28" t="n">
        <v>240</v>
      </c>
      <c r="AF242" s="50"/>
    </row>
    <row r="243" customFormat="false" ht="15.75" hidden="false" customHeight="true" outlineLevel="0" collapsed="false">
      <c r="A243" s="30" t="s">
        <v>524</v>
      </c>
      <c r="B243" s="31"/>
      <c r="C243" s="32"/>
      <c r="D243" s="33"/>
      <c r="E243" s="31"/>
      <c r="F243" s="31"/>
      <c r="G243" s="31"/>
      <c r="H243" s="35"/>
      <c r="I243" s="35"/>
      <c r="J243" s="33"/>
      <c r="K243" s="35"/>
      <c r="L243" s="35"/>
      <c r="M243" s="36" t="n">
        <f aca="false">SUM(M244:M275)</f>
        <v>32</v>
      </c>
      <c r="N243" s="37" t="n">
        <f aca="false">SUM(N244:N275)</f>
        <v>32</v>
      </c>
      <c r="O243" s="37"/>
      <c r="P243" s="37" t="n">
        <f aca="false">SUM(P244:P275)</f>
        <v>0</v>
      </c>
      <c r="Q243" s="65" t="n">
        <f aca="false">SUM(Q244:Q275)</f>
        <v>32</v>
      </c>
      <c r="R243" s="37" t="n">
        <f aca="false">SUM(R244:R275)</f>
        <v>0</v>
      </c>
      <c r="S243" s="37" t="n">
        <f aca="false">SUM(S244:S275)</f>
        <v>32</v>
      </c>
      <c r="T243" s="37" t="n">
        <f aca="false">SUM(T244:T275)</f>
        <v>0</v>
      </c>
      <c r="U243" s="37" t="n">
        <f aca="false">SUM(U244:U275)</f>
        <v>0</v>
      </c>
      <c r="V243" s="37" t="n">
        <f aca="false">SUM(V244:V275)</f>
        <v>0</v>
      </c>
      <c r="W243" s="37" t="n">
        <f aca="false">SUM(W244:W275)</f>
        <v>0</v>
      </c>
      <c r="X243" s="37" t="n">
        <f aca="false">SUM(X244:X275)</f>
        <v>0</v>
      </c>
      <c r="Y243" s="37" t="n">
        <f aca="false">SUM(Y244:Y275)</f>
        <v>116</v>
      </c>
      <c r="Z243" s="37" t="n">
        <f aca="false">SUM(Z244:Z275)</f>
        <v>0</v>
      </c>
      <c r="AA243" s="37" t="n">
        <f aca="false">SUM(AA244:AA275)</f>
        <v>116</v>
      </c>
      <c r="AB243" s="37" t="n">
        <f aca="false">SUM(AB244:AB275)</f>
        <v>0</v>
      </c>
      <c r="AC243" s="37" t="n">
        <f aca="false">SUM(AC244:AC275)</f>
        <v>0</v>
      </c>
      <c r="AD243" s="38" t="n">
        <f aca="false">SUM(AD244:AD275)</f>
        <v>0</v>
      </c>
      <c r="AE243" s="28" t="n">
        <v>241</v>
      </c>
      <c r="AF243" s="50"/>
    </row>
    <row r="244" customFormat="false" ht="15.75" hidden="false" customHeight="true" outlineLevel="0" collapsed="false">
      <c r="A244" s="41" t="s">
        <v>525</v>
      </c>
      <c r="B244" s="42" t="s">
        <v>526</v>
      </c>
      <c r="C244" s="43" t="s">
        <v>41</v>
      </c>
      <c r="D244" s="44" t="s">
        <v>527</v>
      </c>
      <c r="E244" s="42" t="s">
        <v>43</v>
      </c>
      <c r="F244" s="42" t="n">
        <v>3</v>
      </c>
      <c r="G244" s="42" t="n">
        <v>1</v>
      </c>
      <c r="H244" s="46" t="s">
        <v>44</v>
      </c>
      <c r="I244" s="56" t="str">
        <f aca="false">A244</f>
        <v>A1.020.001</v>
      </c>
      <c r="J244" s="44"/>
      <c r="K244" s="46"/>
      <c r="L244" s="46"/>
      <c r="M244" s="47" t="n">
        <v>1</v>
      </c>
      <c r="N244" s="48" t="n">
        <v>1</v>
      </c>
      <c r="O244" s="48"/>
      <c r="P244" s="48" t="n">
        <v>0</v>
      </c>
      <c r="Q244" s="61" t="n">
        <v>1</v>
      </c>
      <c r="R244" s="48" t="n">
        <v>0</v>
      </c>
      <c r="S244" s="48" t="n">
        <v>1</v>
      </c>
      <c r="T244" s="48" t="n">
        <v>0</v>
      </c>
      <c r="U244" s="48" t="n">
        <v>0</v>
      </c>
      <c r="V244" s="48" t="n">
        <v>0</v>
      </c>
      <c r="W244" s="48" t="n">
        <v>0</v>
      </c>
      <c r="X244" s="48" t="n">
        <v>0</v>
      </c>
      <c r="Y244" s="48" t="n">
        <v>4</v>
      </c>
      <c r="Z244" s="48" t="n">
        <v>0</v>
      </c>
      <c r="AA244" s="48" t="n">
        <v>4</v>
      </c>
      <c r="AB244" s="48" t="n">
        <v>0</v>
      </c>
      <c r="AC244" s="48" t="n">
        <v>0</v>
      </c>
      <c r="AD244" s="49" t="n">
        <v>0</v>
      </c>
      <c r="AE244" s="39" t="n">
        <v>242</v>
      </c>
      <c r="AF244" s="50"/>
    </row>
    <row r="245" customFormat="false" ht="15" hidden="false" customHeight="true" outlineLevel="0" collapsed="false">
      <c r="A245" s="58" t="s">
        <v>528</v>
      </c>
      <c r="B245" s="46" t="s">
        <v>529</v>
      </c>
      <c r="C245" s="43" t="s">
        <v>41</v>
      </c>
      <c r="D245" s="44" t="s">
        <v>527</v>
      </c>
      <c r="E245" s="42" t="s">
        <v>43</v>
      </c>
      <c r="F245" s="46" t="n">
        <v>3</v>
      </c>
      <c r="G245" s="46" t="n">
        <v>1</v>
      </c>
      <c r="H245" s="46" t="s">
        <v>44</v>
      </c>
      <c r="I245" s="56" t="str">
        <f aca="false">A245</f>
        <v>A1.020.008</v>
      </c>
      <c r="J245" s="44"/>
      <c r="K245" s="46"/>
      <c r="L245" s="46"/>
      <c r="M245" s="60" t="n">
        <v>1</v>
      </c>
      <c r="N245" s="61" t="n">
        <v>1</v>
      </c>
      <c r="O245" s="61"/>
      <c r="P245" s="61" t="n">
        <v>0</v>
      </c>
      <c r="Q245" s="61" t="n">
        <v>1</v>
      </c>
      <c r="R245" s="61" t="n">
        <v>0</v>
      </c>
      <c r="S245" s="61" t="n">
        <v>1</v>
      </c>
      <c r="T245" s="61" t="n">
        <v>0</v>
      </c>
      <c r="U245" s="61" t="n">
        <v>0</v>
      </c>
      <c r="V245" s="61" t="n">
        <v>0</v>
      </c>
      <c r="W245" s="61" t="n">
        <v>0</v>
      </c>
      <c r="X245" s="61" t="n">
        <v>0</v>
      </c>
      <c r="Y245" s="61" t="n">
        <v>4</v>
      </c>
      <c r="Z245" s="61" t="n">
        <v>0</v>
      </c>
      <c r="AA245" s="61" t="n">
        <v>4</v>
      </c>
      <c r="AB245" s="61" t="n">
        <v>0</v>
      </c>
      <c r="AC245" s="61" t="n">
        <v>0</v>
      </c>
      <c r="AD245" s="62" t="n">
        <v>0</v>
      </c>
      <c r="AE245" s="39" t="n">
        <v>243</v>
      </c>
      <c r="AF245" s="50"/>
    </row>
    <row r="246" customFormat="false" ht="15" hidden="false" customHeight="true" outlineLevel="0" collapsed="false">
      <c r="A246" s="58" t="s">
        <v>530</v>
      </c>
      <c r="B246" s="46" t="s">
        <v>531</v>
      </c>
      <c r="C246" s="43" t="s">
        <v>41</v>
      </c>
      <c r="D246" s="44" t="s">
        <v>527</v>
      </c>
      <c r="E246" s="42" t="s">
        <v>43</v>
      </c>
      <c r="F246" s="46" t="n">
        <v>3</v>
      </c>
      <c r="G246" s="46" t="n">
        <v>1</v>
      </c>
      <c r="H246" s="46" t="s">
        <v>44</v>
      </c>
      <c r="I246" s="56" t="str">
        <f aca="false">A246</f>
        <v>A1.020.010</v>
      </c>
      <c r="J246" s="44"/>
      <c r="K246" s="46"/>
      <c r="L246" s="46"/>
      <c r="M246" s="60" t="n">
        <v>1</v>
      </c>
      <c r="N246" s="61" t="n">
        <v>1</v>
      </c>
      <c r="O246" s="61"/>
      <c r="P246" s="61" t="n">
        <v>0</v>
      </c>
      <c r="Q246" s="61" t="n">
        <v>1</v>
      </c>
      <c r="R246" s="61" t="n">
        <v>0</v>
      </c>
      <c r="S246" s="61" t="n">
        <v>1</v>
      </c>
      <c r="T246" s="61" t="n">
        <v>0</v>
      </c>
      <c r="U246" s="61" t="n">
        <v>0</v>
      </c>
      <c r="V246" s="61" t="n">
        <v>0</v>
      </c>
      <c r="W246" s="61" t="n">
        <v>0</v>
      </c>
      <c r="X246" s="61" t="n">
        <v>0</v>
      </c>
      <c r="Y246" s="61" t="n">
        <v>1</v>
      </c>
      <c r="Z246" s="61" t="n">
        <v>0</v>
      </c>
      <c r="AA246" s="61" t="n">
        <v>1</v>
      </c>
      <c r="AB246" s="61" t="n">
        <v>0</v>
      </c>
      <c r="AC246" s="61" t="n">
        <v>0</v>
      </c>
      <c r="AD246" s="62" t="n">
        <v>0</v>
      </c>
      <c r="AE246" s="39" t="n">
        <v>244</v>
      </c>
      <c r="AF246" s="50"/>
    </row>
    <row r="247" customFormat="false" ht="15" hidden="false" customHeight="true" outlineLevel="0" collapsed="false">
      <c r="A247" s="58" t="s">
        <v>532</v>
      </c>
      <c r="B247" s="46" t="s">
        <v>533</v>
      </c>
      <c r="C247" s="43" t="s">
        <v>41</v>
      </c>
      <c r="D247" s="44" t="s">
        <v>527</v>
      </c>
      <c r="E247" s="42" t="s">
        <v>43</v>
      </c>
      <c r="F247" s="46" t="n">
        <v>3</v>
      </c>
      <c r="G247" s="46" t="n">
        <v>1</v>
      </c>
      <c r="H247" s="46" t="s">
        <v>187</v>
      </c>
      <c r="I247" s="56" t="str">
        <f aca="false">A247</f>
        <v>A1.020.086</v>
      </c>
      <c r="J247" s="44"/>
      <c r="K247" s="46"/>
      <c r="L247" s="46"/>
      <c r="M247" s="60" t="n">
        <v>1</v>
      </c>
      <c r="N247" s="61" t="n">
        <v>1</v>
      </c>
      <c r="O247" s="61"/>
      <c r="P247" s="61" t="n">
        <v>0</v>
      </c>
      <c r="Q247" s="61" t="n">
        <v>1</v>
      </c>
      <c r="R247" s="61" t="n">
        <v>0</v>
      </c>
      <c r="S247" s="61" t="n">
        <v>1</v>
      </c>
      <c r="T247" s="61" t="n">
        <v>0</v>
      </c>
      <c r="U247" s="61" t="n">
        <v>0</v>
      </c>
      <c r="V247" s="61" t="n">
        <v>0</v>
      </c>
      <c r="W247" s="61" t="n">
        <v>0</v>
      </c>
      <c r="X247" s="61" t="n">
        <v>0</v>
      </c>
      <c r="Y247" s="61" t="n">
        <v>4</v>
      </c>
      <c r="Z247" s="61" t="n">
        <v>0</v>
      </c>
      <c r="AA247" s="61" t="n">
        <v>4</v>
      </c>
      <c r="AB247" s="61" t="n">
        <v>0</v>
      </c>
      <c r="AC247" s="61" t="n">
        <v>0</v>
      </c>
      <c r="AD247" s="62" t="n">
        <v>0</v>
      </c>
      <c r="AE247" s="28" t="n">
        <v>245</v>
      </c>
      <c r="AF247" s="50"/>
    </row>
    <row r="248" customFormat="false" ht="15" hidden="false" customHeight="true" outlineLevel="0" collapsed="false">
      <c r="A248" s="58" t="s">
        <v>534</v>
      </c>
      <c r="B248" s="46" t="s">
        <v>535</v>
      </c>
      <c r="C248" s="43" t="s">
        <v>41</v>
      </c>
      <c r="D248" s="44" t="s">
        <v>527</v>
      </c>
      <c r="E248" s="42" t="s">
        <v>43</v>
      </c>
      <c r="F248" s="46" t="n">
        <v>3</v>
      </c>
      <c r="G248" s="46" t="n">
        <v>1</v>
      </c>
      <c r="H248" s="46" t="s">
        <v>187</v>
      </c>
      <c r="I248" s="56" t="str">
        <f aca="false">A248</f>
        <v>A1.020.087</v>
      </c>
      <c r="J248" s="44"/>
      <c r="K248" s="46"/>
      <c r="L248" s="46"/>
      <c r="M248" s="60" t="n">
        <v>1</v>
      </c>
      <c r="N248" s="61" t="n">
        <v>1</v>
      </c>
      <c r="O248" s="61"/>
      <c r="P248" s="61" t="n">
        <v>0</v>
      </c>
      <c r="Q248" s="61" t="n">
        <v>1</v>
      </c>
      <c r="R248" s="61" t="n">
        <v>0</v>
      </c>
      <c r="S248" s="61" t="n">
        <v>1</v>
      </c>
      <c r="T248" s="61" t="n">
        <v>0</v>
      </c>
      <c r="U248" s="61" t="n">
        <v>0</v>
      </c>
      <c r="V248" s="61" t="n">
        <v>0</v>
      </c>
      <c r="W248" s="61" t="n">
        <v>0</v>
      </c>
      <c r="X248" s="61" t="n">
        <v>0</v>
      </c>
      <c r="Y248" s="61" t="n">
        <v>4</v>
      </c>
      <c r="Z248" s="61" t="n">
        <v>0</v>
      </c>
      <c r="AA248" s="61" t="n">
        <v>4</v>
      </c>
      <c r="AB248" s="61" t="n">
        <v>0</v>
      </c>
      <c r="AC248" s="61" t="n">
        <v>0</v>
      </c>
      <c r="AD248" s="62" t="n">
        <v>0</v>
      </c>
      <c r="AE248" s="28" t="n">
        <v>246</v>
      </c>
      <c r="AF248" s="50"/>
    </row>
    <row r="249" customFormat="false" ht="15" hidden="false" customHeight="true" outlineLevel="0" collapsed="false">
      <c r="A249" s="58" t="s">
        <v>536</v>
      </c>
      <c r="B249" s="46" t="s">
        <v>537</v>
      </c>
      <c r="C249" s="43" t="s">
        <v>41</v>
      </c>
      <c r="D249" s="44" t="s">
        <v>527</v>
      </c>
      <c r="E249" s="46" t="s">
        <v>57</v>
      </c>
      <c r="F249" s="46" t="n">
        <v>2</v>
      </c>
      <c r="G249" s="42" t="n">
        <v>1</v>
      </c>
      <c r="H249" s="46" t="s">
        <v>58</v>
      </c>
      <c r="I249" s="56" t="str">
        <f aca="false">A249</f>
        <v>A2.020.008</v>
      </c>
      <c r="J249" s="44"/>
      <c r="K249" s="46"/>
      <c r="L249" s="46"/>
      <c r="M249" s="60" t="n">
        <v>1</v>
      </c>
      <c r="N249" s="61" t="n">
        <v>1</v>
      </c>
      <c r="O249" s="61"/>
      <c r="P249" s="61" t="n">
        <v>0</v>
      </c>
      <c r="Q249" s="61" t="n">
        <v>1</v>
      </c>
      <c r="R249" s="61" t="n">
        <v>0</v>
      </c>
      <c r="S249" s="61" t="n">
        <v>1</v>
      </c>
      <c r="T249" s="61" t="n">
        <v>0</v>
      </c>
      <c r="U249" s="61" t="n">
        <v>0</v>
      </c>
      <c r="V249" s="61" t="n">
        <v>0</v>
      </c>
      <c r="W249" s="61" t="n">
        <v>0</v>
      </c>
      <c r="X249" s="61" t="n">
        <v>0</v>
      </c>
      <c r="Y249" s="61" t="n">
        <v>3</v>
      </c>
      <c r="Z249" s="61" t="n">
        <v>0</v>
      </c>
      <c r="AA249" s="61" t="n">
        <v>3</v>
      </c>
      <c r="AB249" s="61" t="n">
        <v>0</v>
      </c>
      <c r="AC249" s="61" t="n">
        <v>0</v>
      </c>
      <c r="AD249" s="62" t="n">
        <v>0</v>
      </c>
      <c r="AE249" s="39" t="n">
        <v>247</v>
      </c>
      <c r="AF249" s="50"/>
    </row>
    <row r="250" customFormat="false" ht="15" hidden="false" customHeight="true" outlineLevel="0" collapsed="false">
      <c r="A250" s="58" t="s">
        <v>538</v>
      </c>
      <c r="B250" s="46" t="s">
        <v>539</v>
      </c>
      <c r="C250" s="43" t="s">
        <v>41</v>
      </c>
      <c r="D250" s="44" t="s">
        <v>527</v>
      </c>
      <c r="E250" s="46" t="s">
        <v>57</v>
      </c>
      <c r="F250" s="46" t="n">
        <v>2</v>
      </c>
      <c r="G250" s="46" t="n">
        <v>1</v>
      </c>
      <c r="H250" s="46" t="s">
        <v>58</v>
      </c>
      <c r="I250" s="56" t="str">
        <f aca="false">A250</f>
        <v>A2.020.020</v>
      </c>
      <c r="J250" s="44"/>
      <c r="K250" s="46"/>
      <c r="L250" s="46"/>
      <c r="M250" s="60" t="n">
        <v>1</v>
      </c>
      <c r="N250" s="61" t="n">
        <v>1</v>
      </c>
      <c r="O250" s="61"/>
      <c r="P250" s="61" t="n">
        <v>0</v>
      </c>
      <c r="Q250" s="61" t="n">
        <v>1</v>
      </c>
      <c r="R250" s="61" t="n">
        <v>0</v>
      </c>
      <c r="S250" s="61" t="n">
        <v>1</v>
      </c>
      <c r="T250" s="61" t="n">
        <v>0</v>
      </c>
      <c r="U250" s="61" t="n">
        <v>0</v>
      </c>
      <c r="V250" s="61" t="n">
        <v>0</v>
      </c>
      <c r="W250" s="61" t="n">
        <v>0</v>
      </c>
      <c r="X250" s="61" t="n">
        <v>0</v>
      </c>
      <c r="Y250" s="61" t="n">
        <v>4</v>
      </c>
      <c r="Z250" s="61" t="n">
        <v>0</v>
      </c>
      <c r="AA250" s="61" t="n">
        <v>4</v>
      </c>
      <c r="AB250" s="61" t="n">
        <v>0</v>
      </c>
      <c r="AC250" s="61" t="n">
        <v>0</v>
      </c>
      <c r="AD250" s="62" t="n">
        <v>0</v>
      </c>
      <c r="AE250" s="39" t="n">
        <v>248</v>
      </c>
      <c r="AF250" s="50"/>
    </row>
    <row r="251" customFormat="false" ht="15" hidden="false" customHeight="true" outlineLevel="0" collapsed="false">
      <c r="A251" s="58" t="s">
        <v>540</v>
      </c>
      <c r="B251" s="46" t="s">
        <v>541</v>
      </c>
      <c r="C251" s="43" t="s">
        <v>41</v>
      </c>
      <c r="D251" s="44" t="s">
        <v>527</v>
      </c>
      <c r="E251" s="46" t="s">
        <v>57</v>
      </c>
      <c r="F251" s="46" t="n">
        <v>2</v>
      </c>
      <c r="G251" s="46" t="n">
        <v>1</v>
      </c>
      <c r="H251" s="46" t="s">
        <v>58</v>
      </c>
      <c r="I251" s="56" t="str">
        <f aca="false">A251</f>
        <v>A2.020.057</v>
      </c>
      <c r="J251" s="44"/>
      <c r="K251" s="46"/>
      <c r="L251" s="46"/>
      <c r="M251" s="60" t="n">
        <v>1</v>
      </c>
      <c r="N251" s="61" t="n">
        <v>1</v>
      </c>
      <c r="O251" s="61"/>
      <c r="P251" s="61" t="n">
        <v>0</v>
      </c>
      <c r="Q251" s="61" t="n">
        <v>1</v>
      </c>
      <c r="R251" s="61" t="n">
        <v>0</v>
      </c>
      <c r="S251" s="61" t="n">
        <v>1</v>
      </c>
      <c r="T251" s="61" t="n">
        <v>0</v>
      </c>
      <c r="U251" s="61" t="n">
        <v>0</v>
      </c>
      <c r="V251" s="61" t="n">
        <v>0</v>
      </c>
      <c r="W251" s="61" t="n">
        <v>0</v>
      </c>
      <c r="X251" s="61" t="n">
        <v>0</v>
      </c>
      <c r="Y251" s="61" t="n">
        <v>4</v>
      </c>
      <c r="Z251" s="61" t="n">
        <v>0</v>
      </c>
      <c r="AA251" s="61" t="n">
        <v>4</v>
      </c>
      <c r="AB251" s="61" t="n">
        <v>0</v>
      </c>
      <c r="AC251" s="61" t="n">
        <v>0</v>
      </c>
      <c r="AD251" s="62" t="n">
        <v>0</v>
      </c>
      <c r="AE251" s="39" t="n">
        <v>249</v>
      </c>
      <c r="AF251" s="50"/>
    </row>
    <row r="252" customFormat="false" ht="15" hidden="false" customHeight="true" outlineLevel="0" collapsed="false">
      <c r="A252" s="58" t="s">
        <v>542</v>
      </c>
      <c r="B252" s="46" t="s">
        <v>543</v>
      </c>
      <c r="C252" s="43" t="s">
        <v>41</v>
      </c>
      <c r="D252" s="44" t="s">
        <v>527</v>
      </c>
      <c r="E252" s="46" t="s">
        <v>71</v>
      </c>
      <c r="F252" s="46" t="n">
        <v>3</v>
      </c>
      <c r="G252" s="46" t="n">
        <v>1</v>
      </c>
      <c r="H252" s="46" t="s">
        <v>72</v>
      </c>
      <c r="I252" s="56" t="str">
        <f aca="false">A252</f>
        <v>S1.020.112</v>
      </c>
      <c r="J252" s="44"/>
      <c r="K252" s="46"/>
      <c r="L252" s="46"/>
      <c r="M252" s="60" t="n">
        <v>1</v>
      </c>
      <c r="N252" s="61" t="n">
        <v>1</v>
      </c>
      <c r="O252" s="61"/>
      <c r="P252" s="61" t="n">
        <v>0</v>
      </c>
      <c r="Q252" s="61" t="n">
        <v>1</v>
      </c>
      <c r="R252" s="61" t="n">
        <v>0</v>
      </c>
      <c r="S252" s="61" t="n">
        <v>1</v>
      </c>
      <c r="T252" s="61" t="n">
        <v>0</v>
      </c>
      <c r="U252" s="61" t="n">
        <v>0</v>
      </c>
      <c r="V252" s="61" t="n">
        <v>0</v>
      </c>
      <c r="W252" s="61" t="n">
        <v>0</v>
      </c>
      <c r="X252" s="61" t="n">
        <v>0</v>
      </c>
      <c r="Y252" s="61" t="n">
        <v>1</v>
      </c>
      <c r="Z252" s="61" t="n">
        <v>0</v>
      </c>
      <c r="AA252" s="61" t="n">
        <v>1</v>
      </c>
      <c r="AB252" s="61" t="n">
        <v>0</v>
      </c>
      <c r="AC252" s="61" t="n">
        <v>0</v>
      </c>
      <c r="AD252" s="62" t="n">
        <v>0</v>
      </c>
      <c r="AE252" s="28" t="n">
        <v>250</v>
      </c>
      <c r="AF252" s="50"/>
    </row>
    <row r="253" customFormat="false" ht="15" hidden="false" customHeight="true" outlineLevel="0" collapsed="false">
      <c r="A253" s="58" t="s">
        <v>544</v>
      </c>
      <c r="B253" s="46" t="s">
        <v>545</v>
      </c>
      <c r="C253" s="43" t="s">
        <v>41</v>
      </c>
      <c r="D253" s="44" t="s">
        <v>527</v>
      </c>
      <c r="E253" s="46" t="s">
        <v>71</v>
      </c>
      <c r="F253" s="46" t="n">
        <v>3</v>
      </c>
      <c r="G253" s="46" t="n">
        <v>1</v>
      </c>
      <c r="H253" s="46" t="s">
        <v>72</v>
      </c>
      <c r="I253" s="56" t="str">
        <f aca="false">A253</f>
        <v>S1.020.120</v>
      </c>
      <c r="J253" s="44"/>
      <c r="K253" s="46"/>
      <c r="L253" s="46"/>
      <c r="M253" s="60" t="n">
        <v>1</v>
      </c>
      <c r="N253" s="61" t="n">
        <v>1</v>
      </c>
      <c r="O253" s="61"/>
      <c r="P253" s="61" t="n">
        <v>0</v>
      </c>
      <c r="Q253" s="61" t="n">
        <v>1</v>
      </c>
      <c r="R253" s="61" t="n">
        <v>0</v>
      </c>
      <c r="S253" s="61" t="n">
        <v>1</v>
      </c>
      <c r="T253" s="61" t="n">
        <v>0</v>
      </c>
      <c r="U253" s="61" t="n">
        <v>0</v>
      </c>
      <c r="V253" s="61" t="n">
        <v>0</v>
      </c>
      <c r="W253" s="61" t="n">
        <v>0</v>
      </c>
      <c r="X253" s="61" t="n">
        <v>0</v>
      </c>
      <c r="Y253" s="61" t="n">
        <v>5</v>
      </c>
      <c r="Z253" s="61" t="n">
        <v>0</v>
      </c>
      <c r="AA253" s="61" t="n">
        <v>5</v>
      </c>
      <c r="AB253" s="61" t="n">
        <v>0</v>
      </c>
      <c r="AC253" s="61" t="n">
        <v>0</v>
      </c>
      <c r="AD253" s="62" t="n">
        <v>0</v>
      </c>
      <c r="AE253" s="28" t="n">
        <v>251</v>
      </c>
      <c r="AF253" s="50"/>
    </row>
    <row r="254" customFormat="false" ht="15" hidden="false" customHeight="true" outlineLevel="0" collapsed="false">
      <c r="A254" s="58" t="s">
        <v>546</v>
      </c>
      <c r="B254" s="46" t="s">
        <v>547</v>
      </c>
      <c r="C254" s="43" t="s">
        <v>41</v>
      </c>
      <c r="D254" s="44" t="s">
        <v>527</v>
      </c>
      <c r="E254" s="46" t="s">
        <v>71</v>
      </c>
      <c r="F254" s="46" t="n">
        <v>3</v>
      </c>
      <c r="G254" s="42" t="n">
        <v>1</v>
      </c>
      <c r="H254" s="46" t="s">
        <v>72</v>
      </c>
      <c r="I254" s="56" t="str">
        <f aca="false">A254</f>
        <v>S1.020.128</v>
      </c>
      <c r="J254" s="44"/>
      <c r="K254" s="46"/>
      <c r="L254" s="46"/>
      <c r="M254" s="60" t="n">
        <v>1</v>
      </c>
      <c r="N254" s="61" t="n">
        <v>1</v>
      </c>
      <c r="O254" s="61"/>
      <c r="P254" s="61" t="n">
        <v>0</v>
      </c>
      <c r="Q254" s="61" t="n">
        <v>1</v>
      </c>
      <c r="R254" s="61" t="n">
        <v>0</v>
      </c>
      <c r="S254" s="61" t="n">
        <v>1</v>
      </c>
      <c r="T254" s="61" t="n">
        <v>0</v>
      </c>
      <c r="U254" s="61" t="n">
        <v>0</v>
      </c>
      <c r="V254" s="61" t="n">
        <v>0</v>
      </c>
      <c r="W254" s="61" t="n">
        <v>0</v>
      </c>
      <c r="X254" s="61" t="n">
        <v>0</v>
      </c>
      <c r="Y254" s="61" t="n">
        <v>5</v>
      </c>
      <c r="Z254" s="61" t="n">
        <v>0</v>
      </c>
      <c r="AA254" s="61" t="n">
        <v>5</v>
      </c>
      <c r="AB254" s="61" t="n">
        <v>0</v>
      </c>
      <c r="AC254" s="61" t="n">
        <v>0</v>
      </c>
      <c r="AD254" s="62" t="n">
        <v>0</v>
      </c>
      <c r="AE254" s="39" t="n">
        <v>252</v>
      </c>
      <c r="AF254" s="50"/>
    </row>
    <row r="255" customFormat="false" ht="14.15" hidden="false" customHeight="false" outlineLevel="0" collapsed="false">
      <c r="A255" s="58" t="s">
        <v>548</v>
      </c>
      <c r="B255" s="46" t="s">
        <v>549</v>
      </c>
      <c r="C255" s="43" t="s">
        <v>41</v>
      </c>
      <c r="D255" s="44" t="s">
        <v>527</v>
      </c>
      <c r="E255" s="46" t="s">
        <v>83</v>
      </c>
      <c r="F255" s="46" t="n">
        <v>3</v>
      </c>
      <c r="G255" s="46" t="n">
        <v>1</v>
      </c>
      <c r="H255" s="46" t="s">
        <v>84</v>
      </c>
      <c r="I255" s="56" t="str">
        <f aca="false">A255</f>
        <v>S2.020.212</v>
      </c>
      <c r="J255" s="44"/>
      <c r="K255" s="46"/>
      <c r="L255" s="46"/>
      <c r="M255" s="60" t="n">
        <v>1</v>
      </c>
      <c r="N255" s="61" t="n">
        <v>1</v>
      </c>
      <c r="O255" s="61"/>
      <c r="P255" s="61" t="n">
        <v>0</v>
      </c>
      <c r="Q255" s="61" t="n">
        <v>1</v>
      </c>
      <c r="R255" s="61" t="n">
        <v>0</v>
      </c>
      <c r="S255" s="61" t="n">
        <v>1</v>
      </c>
      <c r="T255" s="61" t="n">
        <v>0</v>
      </c>
      <c r="U255" s="61" t="n">
        <v>0</v>
      </c>
      <c r="V255" s="61" t="n">
        <v>0</v>
      </c>
      <c r="W255" s="61" t="n">
        <v>0</v>
      </c>
      <c r="X255" s="61" t="n">
        <v>0</v>
      </c>
      <c r="Y255" s="61" t="n">
        <v>1</v>
      </c>
      <c r="Z255" s="61" t="n">
        <v>0</v>
      </c>
      <c r="AA255" s="61" t="n">
        <v>1</v>
      </c>
      <c r="AB255" s="61" t="n">
        <v>0</v>
      </c>
      <c r="AC255" s="61" t="n">
        <v>0</v>
      </c>
      <c r="AD255" s="62" t="n">
        <v>0</v>
      </c>
      <c r="AE255" s="39" t="n">
        <v>253</v>
      </c>
      <c r="AF255" s="50"/>
    </row>
    <row r="256" customFormat="false" ht="14.15" hidden="false" customHeight="false" outlineLevel="0" collapsed="false">
      <c r="A256" s="58" t="s">
        <v>550</v>
      </c>
      <c r="B256" s="76" t="s">
        <v>551</v>
      </c>
      <c r="C256" s="43" t="s">
        <v>41</v>
      </c>
      <c r="D256" s="44" t="s">
        <v>527</v>
      </c>
      <c r="E256" s="46" t="s">
        <v>83</v>
      </c>
      <c r="F256" s="46" t="n">
        <v>3</v>
      </c>
      <c r="G256" s="46" t="n">
        <v>1</v>
      </c>
      <c r="H256" s="46" t="s">
        <v>84</v>
      </c>
      <c r="I256" s="56" t="str">
        <f aca="false">A256</f>
        <v>S2.020.220</v>
      </c>
      <c r="J256" s="44"/>
      <c r="K256" s="46"/>
      <c r="L256" s="46"/>
      <c r="M256" s="60" t="n">
        <v>1</v>
      </c>
      <c r="N256" s="61" t="n">
        <v>1</v>
      </c>
      <c r="O256" s="61"/>
      <c r="P256" s="61" t="n">
        <v>0</v>
      </c>
      <c r="Q256" s="61" t="n">
        <v>1</v>
      </c>
      <c r="R256" s="61" t="n">
        <v>0</v>
      </c>
      <c r="S256" s="61" t="n">
        <v>1</v>
      </c>
      <c r="T256" s="61" t="n">
        <v>0</v>
      </c>
      <c r="U256" s="61" t="n">
        <v>0</v>
      </c>
      <c r="V256" s="61" t="n">
        <v>0</v>
      </c>
      <c r="W256" s="61" t="n">
        <v>0</v>
      </c>
      <c r="X256" s="61" t="n">
        <v>0</v>
      </c>
      <c r="Y256" s="61" t="n">
        <v>5</v>
      </c>
      <c r="Z256" s="61" t="n">
        <v>0</v>
      </c>
      <c r="AA256" s="61" t="n">
        <v>5</v>
      </c>
      <c r="AB256" s="61" t="n">
        <v>0</v>
      </c>
      <c r="AC256" s="61" t="n">
        <v>0</v>
      </c>
      <c r="AD256" s="62" t="n">
        <v>0</v>
      </c>
      <c r="AE256" s="39" t="n">
        <v>254</v>
      </c>
      <c r="AF256" s="50"/>
    </row>
    <row r="257" customFormat="false" ht="14.15" hidden="false" customHeight="false" outlineLevel="0" collapsed="false">
      <c r="A257" s="58" t="s">
        <v>552</v>
      </c>
      <c r="B257" s="46" t="s">
        <v>553</v>
      </c>
      <c r="C257" s="43" t="s">
        <v>41</v>
      </c>
      <c r="D257" s="44" t="s">
        <v>527</v>
      </c>
      <c r="E257" s="46" t="s">
        <v>83</v>
      </c>
      <c r="F257" s="46" t="n">
        <v>3</v>
      </c>
      <c r="G257" s="46" t="n">
        <v>1</v>
      </c>
      <c r="H257" s="46" t="s">
        <v>84</v>
      </c>
      <c r="I257" s="56" t="str">
        <f aca="false">A257</f>
        <v>S2.020.228</v>
      </c>
      <c r="J257" s="44"/>
      <c r="K257" s="46"/>
      <c r="L257" s="46"/>
      <c r="M257" s="60" t="n">
        <v>1</v>
      </c>
      <c r="N257" s="61" t="n">
        <v>1</v>
      </c>
      <c r="O257" s="61"/>
      <c r="P257" s="61" t="n">
        <v>0</v>
      </c>
      <c r="Q257" s="61" t="n">
        <v>1</v>
      </c>
      <c r="R257" s="61" t="n">
        <v>0</v>
      </c>
      <c r="S257" s="61" t="n">
        <v>1</v>
      </c>
      <c r="T257" s="61" t="n">
        <v>0</v>
      </c>
      <c r="U257" s="61" t="n">
        <v>0</v>
      </c>
      <c r="V257" s="61" t="n">
        <v>0</v>
      </c>
      <c r="W257" s="61" t="n">
        <v>0</v>
      </c>
      <c r="X257" s="61" t="n">
        <v>0</v>
      </c>
      <c r="Y257" s="61" t="n">
        <v>5</v>
      </c>
      <c r="Z257" s="61" t="n">
        <v>0</v>
      </c>
      <c r="AA257" s="61" t="n">
        <v>5</v>
      </c>
      <c r="AB257" s="61" t="n">
        <v>0</v>
      </c>
      <c r="AC257" s="61" t="n">
        <v>0</v>
      </c>
      <c r="AD257" s="62" t="n">
        <v>0</v>
      </c>
      <c r="AE257" s="28" t="n">
        <v>255</v>
      </c>
      <c r="AF257" s="50"/>
    </row>
    <row r="258" customFormat="false" ht="15" hidden="false" customHeight="true" outlineLevel="0" collapsed="false">
      <c r="A258" s="58" t="s">
        <v>554</v>
      </c>
      <c r="B258" s="64" t="s">
        <v>555</v>
      </c>
      <c r="C258" s="43" t="s">
        <v>41</v>
      </c>
      <c r="D258" s="44" t="s">
        <v>527</v>
      </c>
      <c r="E258" s="46" t="s">
        <v>95</v>
      </c>
      <c r="F258" s="46" t="n">
        <v>3</v>
      </c>
      <c r="G258" s="46" t="n">
        <v>1</v>
      </c>
      <c r="H258" s="46" t="s">
        <v>96</v>
      </c>
      <c r="I258" s="56" t="str">
        <f aca="false">A258</f>
        <v>S3.020.312</v>
      </c>
      <c r="J258" s="44"/>
      <c r="K258" s="46"/>
      <c r="L258" s="46"/>
      <c r="M258" s="60" t="n">
        <v>1</v>
      </c>
      <c r="N258" s="61" t="n">
        <v>1</v>
      </c>
      <c r="O258" s="61"/>
      <c r="P258" s="61" t="n">
        <v>0</v>
      </c>
      <c r="Q258" s="61" t="n">
        <v>1</v>
      </c>
      <c r="R258" s="61" t="n">
        <v>0</v>
      </c>
      <c r="S258" s="61" t="n">
        <v>1</v>
      </c>
      <c r="T258" s="61" t="n">
        <v>0</v>
      </c>
      <c r="U258" s="61" t="n">
        <v>0</v>
      </c>
      <c r="V258" s="61" t="n">
        <v>0</v>
      </c>
      <c r="W258" s="61" t="n">
        <v>0</v>
      </c>
      <c r="X258" s="61" t="n">
        <v>0</v>
      </c>
      <c r="Y258" s="61" t="n">
        <v>1</v>
      </c>
      <c r="Z258" s="61" t="n">
        <v>0</v>
      </c>
      <c r="AA258" s="61" t="n">
        <v>1</v>
      </c>
      <c r="AB258" s="61" t="n">
        <v>0</v>
      </c>
      <c r="AC258" s="61" t="n">
        <v>0</v>
      </c>
      <c r="AD258" s="62" t="n">
        <v>0</v>
      </c>
      <c r="AE258" s="28" t="n">
        <v>256</v>
      </c>
      <c r="AF258" s="50"/>
    </row>
    <row r="259" customFormat="false" ht="15" hidden="false" customHeight="true" outlineLevel="0" collapsed="false">
      <c r="A259" s="58" t="s">
        <v>556</v>
      </c>
      <c r="B259" s="64" t="s">
        <v>557</v>
      </c>
      <c r="C259" s="43" t="s">
        <v>41</v>
      </c>
      <c r="D259" s="44" t="s">
        <v>527</v>
      </c>
      <c r="E259" s="46" t="s">
        <v>95</v>
      </c>
      <c r="F259" s="46" t="n">
        <v>3</v>
      </c>
      <c r="G259" s="42" t="n">
        <v>1</v>
      </c>
      <c r="H259" s="46" t="s">
        <v>96</v>
      </c>
      <c r="I259" s="56" t="str">
        <f aca="false">A259</f>
        <v>S3.020.320</v>
      </c>
      <c r="J259" s="44"/>
      <c r="K259" s="46"/>
      <c r="L259" s="46"/>
      <c r="M259" s="60" t="n">
        <v>1</v>
      </c>
      <c r="N259" s="61" t="n">
        <v>1</v>
      </c>
      <c r="O259" s="61"/>
      <c r="P259" s="61" t="n">
        <v>0</v>
      </c>
      <c r="Q259" s="61" t="n">
        <v>1</v>
      </c>
      <c r="R259" s="61" t="n">
        <v>0</v>
      </c>
      <c r="S259" s="61" t="n">
        <v>1</v>
      </c>
      <c r="T259" s="61" t="n">
        <v>0</v>
      </c>
      <c r="U259" s="61" t="n">
        <v>0</v>
      </c>
      <c r="V259" s="61" t="n">
        <v>0</v>
      </c>
      <c r="W259" s="61" t="n">
        <v>0</v>
      </c>
      <c r="X259" s="61" t="n">
        <v>0</v>
      </c>
      <c r="Y259" s="61" t="n">
        <v>5</v>
      </c>
      <c r="Z259" s="61" t="n">
        <v>0</v>
      </c>
      <c r="AA259" s="61" t="n">
        <v>5</v>
      </c>
      <c r="AB259" s="61" t="n">
        <v>0</v>
      </c>
      <c r="AC259" s="61" t="n">
        <v>0</v>
      </c>
      <c r="AD259" s="62" t="n">
        <v>0</v>
      </c>
      <c r="AE259" s="39" t="n">
        <v>257</v>
      </c>
      <c r="AF259" s="50"/>
    </row>
    <row r="260" customFormat="false" ht="15" hidden="false" customHeight="true" outlineLevel="0" collapsed="false">
      <c r="A260" s="58" t="s">
        <v>558</v>
      </c>
      <c r="B260" s="64" t="s">
        <v>559</v>
      </c>
      <c r="C260" s="43" t="s">
        <v>41</v>
      </c>
      <c r="D260" s="44" t="s">
        <v>527</v>
      </c>
      <c r="E260" s="46" t="s">
        <v>95</v>
      </c>
      <c r="F260" s="46" t="n">
        <v>3</v>
      </c>
      <c r="G260" s="46" t="n">
        <v>1</v>
      </c>
      <c r="H260" s="46" t="s">
        <v>96</v>
      </c>
      <c r="I260" s="56" t="str">
        <f aca="false">A260</f>
        <v>S3.020.328</v>
      </c>
      <c r="J260" s="44"/>
      <c r="K260" s="46"/>
      <c r="L260" s="46"/>
      <c r="M260" s="60" t="n">
        <v>1</v>
      </c>
      <c r="N260" s="61" t="n">
        <v>1</v>
      </c>
      <c r="O260" s="61"/>
      <c r="P260" s="61" t="n">
        <v>0</v>
      </c>
      <c r="Q260" s="61" t="n">
        <v>1</v>
      </c>
      <c r="R260" s="61" t="n">
        <v>0</v>
      </c>
      <c r="S260" s="61" t="n">
        <v>1</v>
      </c>
      <c r="T260" s="61" t="n">
        <v>0</v>
      </c>
      <c r="U260" s="61" t="n">
        <v>0</v>
      </c>
      <c r="V260" s="61" t="n">
        <v>0</v>
      </c>
      <c r="W260" s="61" t="n">
        <v>0</v>
      </c>
      <c r="X260" s="61" t="n">
        <v>0</v>
      </c>
      <c r="Y260" s="61" t="n">
        <v>5</v>
      </c>
      <c r="Z260" s="61" t="n">
        <v>0</v>
      </c>
      <c r="AA260" s="61" t="n">
        <v>5</v>
      </c>
      <c r="AB260" s="61" t="n">
        <v>0</v>
      </c>
      <c r="AC260" s="61" t="n">
        <v>0</v>
      </c>
      <c r="AD260" s="62" t="n">
        <v>0</v>
      </c>
      <c r="AE260" s="39" t="n">
        <v>258</v>
      </c>
      <c r="AF260" s="50"/>
    </row>
    <row r="261" customFormat="false" ht="14.15" hidden="false" customHeight="false" outlineLevel="0" collapsed="false">
      <c r="A261" s="58" t="s">
        <v>560</v>
      </c>
      <c r="B261" s="46" t="s">
        <v>561</v>
      </c>
      <c r="C261" s="43" t="s">
        <v>41</v>
      </c>
      <c r="D261" s="44" t="s">
        <v>527</v>
      </c>
      <c r="E261" s="46" t="s">
        <v>107</v>
      </c>
      <c r="F261" s="46" t="n">
        <v>3</v>
      </c>
      <c r="G261" s="46" t="n">
        <v>1</v>
      </c>
      <c r="H261" s="46" t="s">
        <v>108</v>
      </c>
      <c r="I261" s="56" t="str">
        <f aca="false">A261</f>
        <v>S4.020.412</v>
      </c>
      <c r="J261" s="44"/>
      <c r="K261" s="46"/>
      <c r="L261" s="46"/>
      <c r="M261" s="60" t="n">
        <v>1</v>
      </c>
      <c r="N261" s="61" t="n">
        <v>1</v>
      </c>
      <c r="O261" s="61"/>
      <c r="P261" s="61" t="n">
        <v>0</v>
      </c>
      <c r="Q261" s="61" t="n">
        <v>1</v>
      </c>
      <c r="R261" s="61" t="n">
        <v>0</v>
      </c>
      <c r="S261" s="61" t="n">
        <v>1</v>
      </c>
      <c r="T261" s="61" t="n">
        <v>0</v>
      </c>
      <c r="U261" s="61" t="n">
        <v>0</v>
      </c>
      <c r="V261" s="61" t="n">
        <v>0</v>
      </c>
      <c r="W261" s="61" t="n">
        <v>0</v>
      </c>
      <c r="X261" s="61" t="n">
        <v>0</v>
      </c>
      <c r="Y261" s="61" t="n">
        <v>1</v>
      </c>
      <c r="Z261" s="61" t="n">
        <v>0</v>
      </c>
      <c r="AA261" s="61" t="n">
        <v>1</v>
      </c>
      <c r="AB261" s="61" t="n">
        <v>0</v>
      </c>
      <c r="AC261" s="61" t="n">
        <v>0</v>
      </c>
      <c r="AD261" s="62" t="n">
        <v>0</v>
      </c>
      <c r="AE261" s="39" t="n">
        <v>259</v>
      </c>
      <c r="AF261" s="50"/>
    </row>
    <row r="262" customFormat="false" ht="14.15" hidden="false" customHeight="false" outlineLevel="0" collapsed="false">
      <c r="A262" s="58" t="s">
        <v>562</v>
      </c>
      <c r="B262" s="46" t="s">
        <v>563</v>
      </c>
      <c r="C262" s="43" t="s">
        <v>41</v>
      </c>
      <c r="D262" s="44" t="s">
        <v>527</v>
      </c>
      <c r="E262" s="46" t="s">
        <v>107</v>
      </c>
      <c r="F262" s="46" t="n">
        <v>3</v>
      </c>
      <c r="G262" s="46" t="n">
        <v>1</v>
      </c>
      <c r="H262" s="46" t="s">
        <v>108</v>
      </c>
      <c r="I262" s="56" t="str">
        <f aca="false">A262</f>
        <v>S4.020.420</v>
      </c>
      <c r="J262" s="44"/>
      <c r="K262" s="46"/>
      <c r="L262" s="46"/>
      <c r="M262" s="60" t="n">
        <v>1</v>
      </c>
      <c r="N262" s="61" t="n">
        <v>1</v>
      </c>
      <c r="O262" s="61"/>
      <c r="P262" s="61" t="n">
        <v>0</v>
      </c>
      <c r="Q262" s="61" t="n">
        <v>1</v>
      </c>
      <c r="R262" s="61" t="n">
        <v>0</v>
      </c>
      <c r="S262" s="61" t="n">
        <v>1</v>
      </c>
      <c r="T262" s="61" t="n">
        <v>0</v>
      </c>
      <c r="U262" s="61" t="n">
        <v>0</v>
      </c>
      <c r="V262" s="61" t="n">
        <v>0</v>
      </c>
      <c r="W262" s="61" t="n">
        <v>0</v>
      </c>
      <c r="X262" s="61" t="n">
        <v>0</v>
      </c>
      <c r="Y262" s="61" t="n">
        <v>5</v>
      </c>
      <c r="Z262" s="61" t="n">
        <v>0</v>
      </c>
      <c r="AA262" s="61" t="n">
        <v>5</v>
      </c>
      <c r="AB262" s="61" t="n">
        <v>0</v>
      </c>
      <c r="AC262" s="61" t="n">
        <v>0</v>
      </c>
      <c r="AD262" s="62" t="n">
        <v>0</v>
      </c>
      <c r="AE262" s="28" t="n">
        <v>260</v>
      </c>
      <c r="AF262" s="50"/>
    </row>
    <row r="263" customFormat="false" ht="14.15" hidden="false" customHeight="false" outlineLevel="0" collapsed="false">
      <c r="A263" s="58" t="s">
        <v>564</v>
      </c>
      <c r="B263" s="46" t="s">
        <v>565</v>
      </c>
      <c r="C263" s="43" t="s">
        <v>41</v>
      </c>
      <c r="D263" s="44" t="s">
        <v>527</v>
      </c>
      <c r="E263" s="46" t="s">
        <v>107</v>
      </c>
      <c r="F263" s="46" t="n">
        <v>3</v>
      </c>
      <c r="G263" s="46" t="n">
        <v>1</v>
      </c>
      <c r="H263" s="46" t="s">
        <v>108</v>
      </c>
      <c r="I263" s="56" t="str">
        <f aca="false">A263</f>
        <v>S4.020.428</v>
      </c>
      <c r="J263" s="44"/>
      <c r="K263" s="46"/>
      <c r="L263" s="46"/>
      <c r="M263" s="60" t="n">
        <v>1</v>
      </c>
      <c r="N263" s="61" t="n">
        <v>1</v>
      </c>
      <c r="O263" s="61"/>
      <c r="P263" s="61" t="n">
        <v>0</v>
      </c>
      <c r="Q263" s="61" t="n">
        <v>1</v>
      </c>
      <c r="R263" s="61" t="n">
        <v>0</v>
      </c>
      <c r="S263" s="61" t="n">
        <v>1</v>
      </c>
      <c r="T263" s="61" t="n">
        <v>0</v>
      </c>
      <c r="U263" s="61" t="n">
        <v>0</v>
      </c>
      <c r="V263" s="61" t="n">
        <v>0</v>
      </c>
      <c r="W263" s="61" t="n">
        <v>0</v>
      </c>
      <c r="X263" s="61" t="n">
        <v>0</v>
      </c>
      <c r="Y263" s="61" t="n">
        <v>5</v>
      </c>
      <c r="Z263" s="61" t="n">
        <v>0</v>
      </c>
      <c r="AA263" s="61" t="n">
        <v>5</v>
      </c>
      <c r="AB263" s="61" t="n">
        <v>0</v>
      </c>
      <c r="AC263" s="61" t="n">
        <v>0</v>
      </c>
      <c r="AD263" s="62" t="n">
        <v>0</v>
      </c>
      <c r="AE263" s="28" t="n">
        <v>261</v>
      </c>
      <c r="AF263" s="50"/>
    </row>
    <row r="264" customFormat="false" ht="14.15" hidden="false" customHeight="false" outlineLevel="0" collapsed="false">
      <c r="A264" s="58" t="s">
        <v>566</v>
      </c>
      <c r="B264" s="46" t="s">
        <v>567</v>
      </c>
      <c r="C264" s="43" t="s">
        <v>41</v>
      </c>
      <c r="D264" s="44" t="s">
        <v>527</v>
      </c>
      <c r="E264" s="46" t="s">
        <v>119</v>
      </c>
      <c r="F264" s="46" t="n">
        <v>3</v>
      </c>
      <c r="G264" s="42" t="n">
        <v>1</v>
      </c>
      <c r="H264" s="46" t="s">
        <v>120</v>
      </c>
      <c r="I264" s="56" t="str">
        <f aca="false">A264</f>
        <v>S5.020.512</v>
      </c>
      <c r="J264" s="44"/>
      <c r="K264" s="46"/>
      <c r="L264" s="46"/>
      <c r="M264" s="60" t="n">
        <v>1</v>
      </c>
      <c r="N264" s="61" t="n">
        <v>1</v>
      </c>
      <c r="O264" s="61"/>
      <c r="P264" s="61" t="n">
        <v>0</v>
      </c>
      <c r="Q264" s="61" t="n">
        <v>1</v>
      </c>
      <c r="R264" s="61" t="n">
        <v>0</v>
      </c>
      <c r="S264" s="61" t="n">
        <v>1</v>
      </c>
      <c r="T264" s="61" t="n">
        <v>0</v>
      </c>
      <c r="U264" s="61" t="n">
        <v>0</v>
      </c>
      <c r="V264" s="61" t="n">
        <v>0</v>
      </c>
      <c r="W264" s="61" t="n">
        <v>0</v>
      </c>
      <c r="X264" s="61" t="n">
        <v>0</v>
      </c>
      <c r="Y264" s="61" t="n">
        <v>1</v>
      </c>
      <c r="Z264" s="61" t="n">
        <v>0</v>
      </c>
      <c r="AA264" s="61" t="n">
        <v>1</v>
      </c>
      <c r="AB264" s="61" t="n">
        <v>0</v>
      </c>
      <c r="AC264" s="61" t="n">
        <v>0</v>
      </c>
      <c r="AD264" s="62" t="n">
        <v>0</v>
      </c>
      <c r="AE264" s="39" t="n">
        <v>262</v>
      </c>
      <c r="AF264" s="50"/>
    </row>
    <row r="265" customFormat="false" ht="14.15" hidden="false" customHeight="false" outlineLevel="0" collapsed="false">
      <c r="A265" s="58" t="s">
        <v>568</v>
      </c>
      <c r="B265" s="46" t="s">
        <v>569</v>
      </c>
      <c r="C265" s="43" t="s">
        <v>41</v>
      </c>
      <c r="D265" s="44" t="s">
        <v>527</v>
      </c>
      <c r="E265" s="46" t="s">
        <v>119</v>
      </c>
      <c r="F265" s="46" t="n">
        <v>3</v>
      </c>
      <c r="G265" s="46" t="n">
        <v>1</v>
      </c>
      <c r="H265" s="46" t="s">
        <v>120</v>
      </c>
      <c r="I265" s="56" t="str">
        <f aca="false">A265</f>
        <v>S5.020.520</v>
      </c>
      <c r="J265" s="44"/>
      <c r="K265" s="46"/>
      <c r="L265" s="46"/>
      <c r="M265" s="60" t="n">
        <v>1</v>
      </c>
      <c r="N265" s="61" t="n">
        <v>1</v>
      </c>
      <c r="O265" s="61"/>
      <c r="P265" s="61" t="n">
        <v>0</v>
      </c>
      <c r="Q265" s="61" t="n">
        <v>1</v>
      </c>
      <c r="R265" s="61" t="n">
        <v>0</v>
      </c>
      <c r="S265" s="61" t="n">
        <v>1</v>
      </c>
      <c r="T265" s="61" t="n">
        <v>0</v>
      </c>
      <c r="U265" s="61" t="n">
        <v>0</v>
      </c>
      <c r="V265" s="61" t="n">
        <v>0</v>
      </c>
      <c r="W265" s="61" t="n">
        <v>0</v>
      </c>
      <c r="X265" s="61" t="n">
        <v>0</v>
      </c>
      <c r="Y265" s="61" t="n">
        <v>5</v>
      </c>
      <c r="Z265" s="61" t="n">
        <v>0</v>
      </c>
      <c r="AA265" s="61" t="n">
        <v>5</v>
      </c>
      <c r="AB265" s="61" t="n">
        <v>0</v>
      </c>
      <c r="AC265" s="61" t="n">
        <v>0</v>
      </c>
      <c r="AD265" s="62" t="n">
        <v>0</v>
      </c>
      <c r="AE265" s="39" t="n">
        <v>263</v>
      </c>
      <c r="AF265" s="50"/>
    </row>
    <row r="266" customFormat="false" ht="14.15" hidden="false" customHeight="false" outlineLevel="0" collapsed="false">
      <c r="A266" s="58" t="s">
        <v>570</v>
      </c>
      <c r="B266" s="46" t="s">
        <v>571</v>
      </c>
      <c r="C266" s="43" t="s">
        <v>41</v>
      </c>
      <c r="D266" s="44" t="s">
        <v>527</v>
      </c>
      <c r="E266" s="46" t="s">
        <v>119</v>
      </c>
      <c r="F266" s="46" t="n">
        <v>3</v>
      </c>
      <c r="G266" s="46" t="n">
        <v>1</v>
      </c>
      <c r="H266" s="46" t="s">
        <v>120</v>
      </c>
      <c r="I266" s="56" t="str">
        <f aca="false">A266</f>
        <v>S5.020.528</v>
      </c>
      <c r="J266" s="44"/>
      <c r="K266" s="46"/>
      <c r="L266" s="46"/>
      <c r="M266" s="60" t="n">
        <v>1</v>
      </c>
      <c r="N266" s="61" t="n">
        <v>1</v>
      </c>
      <c r="O266" s="61"/>
      <c r="P266" s="61" t="n">
        <v>0</v>
      </c>
      <c r="Q266" s="61" t="n">
        <v>1</v>
      </c>
      <c r="R266" s="61" t="n">
        <v>0</v>
      </c>
      <c r="S266" s="61" t="n">
        <v>1</v>
      </c>
      <c r="T266" s="61" t="n">
        <v>0</v>
      </c>
      <c r="U266" s="61" t="n">
        <v>0</v>
      </c>
      <c r="V266" s="61" t="n">
        <v>0</v>
      </c>
      <c r="W266" s="61" t="n">
        <v>0</v>
      </c>
      <c r="X266" s="61" t="n">
        <v>0</v>
      </c>
      <c r="Y266" s="61" t="n">
        <v>5</v>
      </c>
      <c r="Z266" s="61" t="n">
        <v>0</v>
      </c>
      <c r="AA266" s="61" t="n">
        <v>5</v>
      </c>
      <c r="AB266" s="61" t="n">
        <v>0</v>
      </c>
      <c r="AC266" s="61" t="n">
        <v>0</v>
      </c>
      <c r="AD266" s="62" t="n">
        <v>0</v>
      </c>
      <c r="AE266" s="39" t="n">
        <v>264</v>
      </c>
      <c r="AF266" s="50"/>
    </row>
    <row r="267" customFormat="false" ht="14.15" hidden="false" customHeight="false" outlineLevel="0" collapsed="false">
      <c r="A267" s="58" t="s">
        <v>572</v>
      </c>
      <c r="B267" s="46" t="s">
        <v>573</v>
      </c>
      <c r="C267" s="43" t="s">
        <v>41</v>
      </c>
      <c r="D267" s="44" t="s">
        <v>527</v>
      </c>
      <c r="E267" s="46" t="s">
        <v>131</v>
      </c>
      <c r="F267" s="46" t="n">
        <v>3</v>
      </c>
      <c r="G267" s="46" t="n">
        <v>1</v>
      </c>
      <c r="H267" s="46" t="s">
        <v>132</v>
      </c>
      <c r="I267" s="56" t="str">
        <f aca="false">A267</f>
        <v>S6.020.612</v>
      </c>
      <c r="J267" s="44"/>
      <c r="K267" s="46"/>
      <c r="L267" s="46"/>
      <c r="M267" s="60" t="n">
        <v>1</v>
      </c>
      <c r="N267" s="61" t="n">
        <v>1</v>
      </c>
      <c r="O267" s="61"/>
      <c r="P267" s="61" t="n">
        <v>0</v>
      </c>
      <c r="Q267" s="61" t="n">
        <v>1</v>
      </c>
      <c r="R267" s="61" t="n">
        <v>0</v>
      </c>
      <c r="S267" s="61" t="n">
        <v>1</v>
      </c>
      <c r="T267" s="61" t="n">
        <v>0</v>
      </c>
      <c r="U267" s="61" t="n">
        <v>0</v>
      </c>
      <c r="V267" s="61" t="n">
        <v>0</v>
      </c>
      <c r="W267" s="61" t="n">
        <v>0</v>
      </c>
      <c r="X267" s="61" t="n">
        <v>0</v>
      </c>
      <c r="Y267" s="61" t="n">
        <v>1</v>
      </c>
      <c r="Z267" s="61" t="n">
        <v>0</v>
      </c>
      <c r="AA267" s="61" t="n">
        <v>1</v>
      </c>
      <c r="AB267" s="61" t="n">
        <v>0</v>
      </c>
      <c r="AC267" s="61" t="n">
        <v>0</v>
      </c>
      <c r="AD267" s="62" t="n">
        <v>0</v>
      </c>
      <c r="AE267" s="28" t="n">
        <v>265</v>
      </c>
      <c r="AF267" s="50"/>
    </row>
    <row r="268" customFormat="false" ht="14.15" hidden="false" customHeight="false" outlineLevel="0" collapsed="false">
      <c r="A268" s="58" t="s">
        <v>574</v>
      </c>
      <c r="B268" s="46" t="s">
        <v>575</v>
      </c>
      <c r="C268" s="43" t="s">
        <v>41</v>
      </c>
      <c r="D268" s="44" t="s">
        <v>527</v>
      </c>
      <c r="E268" s="46" t="s">
        <v>131</v>
      </c>
      <c r="F268" s="46" t="n">
        <v>3</v>
      </c>
      <c r="G268" s="46" t="n">
        <v>1</v>
      </c>
      <c r="H268" s="46" t="s">
        <v>132</v>
      </c>
      <c r="I268" s="56" t="str">
        <f aca="false">A268</f>
        <v>S6.020.620</v>
      </c>
      <c r="J268" s="44"/>
      <c r="K268" s="46"/>
      <c r="L268" s="46"/>
      <c r="M268" s="60" t="n">
        <v>1</v>
      </c>
      <c r="N268" s="61" t="n">
        <v>1</v>
      </c>
      <c r="O268" s="61"/>
      <c r="P268" s="61" t="n">
        <v>0</v>
      </c>
      <c r="Q268" s="61" t="n">
        <v>1</v>
      </c>
      <c r="R268" s="61" t="n">
        <v>0</v>
      </c>
      <c r="S268" s="61" t="n">
        <v>1</v>
      </c>
      <c r="T268" s="61" t="n">
        <v>0</v>
      </c>
      <c r="U268" s="61" t="n">
        <v>0</v>
      </c>
      <c r="V268" s="61" t="n">
        <v>0</v>
      </c>
      <c r="W268" s="61" t="n">
        <v>0</v>
      </c>
      <c r="X268" s="61" t="n">
        <v>0</v>
      </c>
      <c r="Y268" s="61" t="n">
        <v>5</v>
      </c>
      <c r="Z268" s="61" t="n">
        <v>0</v>
      </c>
      <c r="AA268" s="61" t="n">
        <v>5</v>
      </c>
      <c r="AB268" s="61" t="n">
        <v>0</v>
      </c>
      <c r="AC268" s="61" t="n">
        <v>0</v>
      </c>
      <c r="AD268" s="62" t="n">
        <v>0</v>
      </c>
      <c r="AE268" s="28" t="n">
        <v>266</v>
      </c>
      <c r="AF268" s="50"/>
    </row>
    <row r="269" customFormat="false" ht="15" hidden="false" customHeight="true" outlineLevel="0" collapsed="false">
      <c r="A269" s="58" t="s">
        <v>576</v>
      </c>
      <c r="B269" s="46" t="s">
        <v>577</v>
      </c>
      <c r="C269" s="43" t="s">
        <v>41</v>
      </c>
      <c r="D269" s="44" t="s">
        <v>527</v>
      </c>
      <c r="E269" s="46" t="s">
        <v>131</v>
      </c>
      <c r="F269" s="46" t="n">
        <v>3</v>
      </c>
      <c r="G269" s="42" t="n">
        <v>1</v>
      </c>
      <c r="H269" s="46" t="s">
        <v>132</v>
      </c>
      <c r="I269" s="56" t="str">
        <f aca="false">A269</f>
        <v>S6.020.628</v>
      </c>
      <c r="J269" s="44"/>
      <c r="K269" s="46"/>
      <c r="L269" s="46"/>
      <c r="M269" s="60" t="n">
        <v>1</v>
      </c>
      <c r="N269" s="61" t="n">
        <v>1</v>
      </c>
      <c r="O269" s="61"/>
      <c r="P269" s="61" t="n">
        <v>0</v>
      </c>
      <c r="Q269" s="61" t="n">
        <v>1</v>
      </c>
      <c r="R269" s="61" t="n">
        <v>0</v>
      </c>
      <c r="S269" s="61" t="n">
        <v>1</v>
      </c>
      <c r="T269" s="61" t="n">
        <v>0</v>
      </c>
      <c r="U269" s="61" t="n">
        <v>0</v>
      </c>
      <c r="V269" s="61" t="n">
        <v>0</v>
      </c>
      <c r="W269" s="61" t="n">
        <v>0</v>
      </c>
      <c r="X269" s="61" t="n">
        <v>0</v>
      </c>
      <c r="Y269" s="61" t="n">
        <v>5</v>
      </c>
      <c r="Z269" s="61" t="n">
        <v>0</v>
      </c>
      <c r="AA269" s="61" t="n">
        <v>5</v>
      </c>
      <c r="AB269" s="61" t="n">
        <v>0</v>
      </c>
      <c r="AC269" s="61" t="n">
        <v>0</v>
      </c>
      <c r="AD269" s="62" t="n">
        <v>0</v>
      </c>
      <c r="AE269" s="39" t="n">
        <v>267</v>
      </c>
      <c r="AF269" s="50"/>
    </row>
    <row r="270" customFormat="false" ht="14.15" hidden="false" customHeight="false" outlineLevel="0" collapsed="false">
      <c r="A270" s="58" t="s">
        <v>578</v>
      </c>
      <c r="B270" s="46" t="s">
        <v>579</v>
      </c>
      <c r="C270" s="43" t="s">
        <v>41</v>
      </c>
      <c r="D270" s="44" t="s">
        <v>527</v>
      </c>
      <c r="E270" s="46" t="s">
        <v>143</v>
      </c>
      <c r="F270" s="46" t="n">
        <v>3</v>
      </c>
      <c r="G270" s="46" t="n">
        <v>1</v>
      </c>
      <c r="H270" s="46" t="s">
        <v>144</v>
      </c>
      <c r="I270" s="56" t="str">
        <f aca="false">A270</f>
        <v>S7.020.712</v>
      </c>
      <c r="J270" s="44"/>
      <c r="K270" s="46"/>
      <c r="L270" s="46"/>
      <c r="M270" s="60" t="n">
        <v>1</v>
      </c>
      <c r="N270" s="61" t="n">
        <v>1</v>
      </c>
      <c r="O270" s="61"/>
      <c r="P270" s="61" t="n">
        <v>0</v>
      </c>
      <c r="Q270" s="61" t="n">
        <v>1</v>
      </c>
      <c r="R270" s="61" t="n">
        <v>0</v>
      </c>
      <c r="S270" s="61" t="n">
        <v>1</v>
      </c>
      <c r="T270" s="61" t="n">
        <v>0</v>
      </c>
      <c r="U270" s="61" t="n">
        <v>0</v>
      </c>
      <c r="V270" s="61" t="n">
        <v>0</v>
      </c>
      <c r="W270" s="61" t="n">
        <v>0</v>
      </c>
      <c r="X270" s="61" t="n">
        <v>0</v>
      </c>
      <c r="Y270" s="61" t="n">
        <v>1</v>
      </c>
      <c r="Z270" s="61" t="n">
        <v>0</v>
      </c>
      <c r="AA270" s="61" t="n">
        <v>1</v>
      </c>
      <c r="AB270" s="61" t="n">
        <v>0</v>
      </c>
      <c r="AC270" s="61" t="n">
        <v>0</v>
      </c>
      <c r="AD270" s="62" t="n">
        <v>0</v>
      </c>
      <c r="AE270" s="39" t="n">
        <v>268</v>
      </c>
      <c r="AF270" s="50"/>
    </row>
    <row r="271" customFormat="false" ht="15" hidden="false" customHeight="true" outlineLevel="0" collapsed="false">
      <c r="A271" s="58" t="s">
        <v>580</v>
      </c>
      <c r="B271" s="46" t="s">
        <v>581</v>
      </c>
      <c r="C271" s="43" t="s">
        <v>41</v>
      </c>
      <c r="D271" s="44" t="s">
        <v>527</v>
      </c>
      <c r="E271" s="46" t="s">
        <v>143</v>
      </c>
      <c r="F271" s="46" t="n">
        <v>3</v>
      </c>
      <c r="G271" s="46" t="n">
        <v>1</v>
      </c>
      <c r="H271" s="46" t="s">
        <v>144</v>
      </c>
      <c r="I271" s="56" t="str">
        <f aca="false">A271</f>
        <v>S7.020.720</v>
      </c>
      <c r="J271" s="44"/>
      <c r="K271" s="46"/>
      <c r="L271" s="46"/>
      <c r="M271" s="60" t="n">
        <v>1</v>
      </c>
      <c r="N271" s="61" t="n">
        <v>1</v>
      </c>
      <c r="O271" s="61"/>
      <c r="P271" s="61" t="n">
        <v>0</v>
      </c>
      <c r="Q271" s="61" t="n">
        <v>1</v>
      </c>
      <c r="R271" s="61" t="n">
        <v>0</v>
      </c>
      <c r="S271" s="61" t="n">
        <v>1</v>
      </c>
      <c r="T271" s="61" t="n">
        <v>0</v>
      </c>
      <c r="U271" s="61" t="n">
        <v>0</v>
      </c>
      <c r="V271" s="61" t="n">
        <v>0</v>
      </c>
      <c r="W271" s="61" t="n">
        <v>0</v>
      </c>
      <c r="X271" s="61" t="n">
        <v>0</v>
      </c>
      <c r="Y271" s="61" t="n">
        <v>5</v>
      </c>
      <c r="Z271" s="61" t="n">
        <v>0</v>
      </c>
      <c r="AA271" s="61" t="n">
        <v>5</v>
      </c>
      <c r="AB271" s="61" t="n">
        <v>0</v>
      </c>
      <c r="AC271" s="61" t="n">
        <v>0</v>
      </c>
      <c r="AD271" s="62" t="n">
        <v>0</v>
      </c>
      <c r="AE271" s="39" t="n">
        <v>269</v>
      </c>
      <c r="AF271" s="50"/>
    </row>
    <row r="272" customFormat="false" ht="14.15" hidden="false" customHeight="false" outlineLevel="0" collapsed="false">
      <c r="A272" s="58" t="s">
        <v>582</v>
      </c>
      <c r="B272" s="46" t="s">
        <v>583</v>
      </c>
      <c r="C272" s="43" t="s">
        <v>41</v>
      </c>
      <c r="D272" s="44" t="s">
        <v>527</v>
      </c>
      <c r="E272" s="46" t="s">
        <v>143</v>
      </c>
      <c r="F272" s="46" t="n">
        <v>3</v>
      </c>
      <c r="G272" s="46" t="n">
        <v>1</v>
      </c>
      <c r="H272" s="46" t="s">
        <v>144</v>
      </c>
      <c r="I272" s="56" t="str">
        <f aca="false">A272</f>
        <v>S7.020.728</v>
      </c>
      <c r="J272" s="44"/>
      <c r="K272" s="46"/>
      <c r="L272" s="46"/>
      <c r="M272" s="60" t="n">
        <v>1</v>
      </c>
      <c r="N272" s="61" t="n">
        <v>1</v>
      </c>
      <c r="O272" s="61"/>
      <c r="P272" s="61" t="n">
        <v>0</v>
      </c>
      <c r="Q272" s="61" t="n">
        <v>1</v>
      </c>
      <c r="R272" s="61" t="n">
        <v>0</v>
      </c>
      <c r="S272" s="61" t="n">
        <v>1</v>
      </c>
      <c r="T272" s="61" t="n">
        <v>0</v>
      </c>
      <c r="U272" s="61" t="n">
        <v>0</v>
      </c>
      <c r="V272" s="61" t="n">
        <v>0</v>
      </c>
      <c r="W272" s="61" t="n">
        <v>0</v>
      </c>
      <c r="X272" s="61" t="n">
        <v>0</v>
      </c>
      <c r="Y272" s="61" t="n">
        <v>5</v>
      </c>
      <c r="Z272" s="61" t="n">
        <v>0</v>
      </c>
      <c r="AA272" s="61" t="n">
        <v>5</v>
      </c>
      <c r="AB272" s="61" t="n">
        <v>0</v>
      </c>
      <c r="AC272" s="61" t="n">
        <v>0</v>
      </c>
      <c r="AD272" s="62" t="n">
        <v>0</v>
      </c>
      <c r="AE272" s="28" t="n">
        <v>270</v>
      </c>
      <c r="AF272" s="50"/>
    </row>
    <row r="273" customFormat="false" ht="14.15" hidden="false" customHeight="false" outlineLevel="0" collapsed="false">
      <c r="A273" s="58" t="s">
        <v>584</v>
      </c>
      <c r="B273" s="46" t="s">
        <v>585</v>
      </c>
      <c r="C273" s="43" t="s">
        <v>41</v>
      </c>
      <c r="D273" s="44" t="s">
        <v>527</v>
      </c>
      <c r="E273" s="46" t="s">
        <v>155</v>
      </c>
      <c r="F273" s="46" t="n">
        <v>3</v>
      </c>
      <c r="G273" s="46" t="n">
        <v>1</v>
      </c>
      <c r="H273" s="46" t="s">
        <v>156</v>
      </c>
      <c r="I273" s="56" t="str">
        <f aca="false">A273</f>
        <v>S8.020.812</v>
      </c>
      <c r="J273" s="44"/>
      <c r="K273" s="46"/>
      <c r="L273" s="46"/>
      <c r="M273" s="60" t="n">
        <v>1</v>
      </c>
      <c r="N273" s="61" t="n">
        <v>1</v>
      </c>
      <c r="O273" s="61"/>
      <c r="P273" s="61" t="n">
        <v>0</v>
      </c>
      <c r="Q273" s="61" t="n">
        <v>1</v>
      </c>
      <c r="R273" s="61" t="n">
        <v>0</v>
      </c>
      <c r="S273" s="61" t="n">
        <v>1</v>
      </c>
      <c r="T273" s="61" t="n">
        <v>0</v>
      </c>
      <c r="U273" s="61" t="n">
        <v>0</v>
      </c>
      <c r="V273" s="61" t="n">
        <v>0</v>
      </c>
      <c r="W273" s="61" t="n">
        <v>0</v>
      </c>
      <c r="X273" s="61" t="n">
        <v>0</v>
      </c>
      <c r="Y273" s="61" t="n">
        <v>1</v>
      </c>
      <c r="Z273" s="61" t="n">
        <v>0</v>
      </c>
      <c r="AA273" s="61" t="n">
        <v>1</v>
      </c>
      <c r="AB273" s="61" t="n">
        <v>0</v>
      </c>
      <c r="AC273" s="61" t="n">
        <v>0</v>
      </c>
      <c r="AD273" s="62" t="n">
        <v>0</v>
      </c>
      <c r="AE273" s="28" t="n">
        <v>271</v>
      </c>
      <c r="AF273" s="50"/>
    </row>
    <row r="274" customFormat="false" ht="14.15" hidden="false" customHeight="false" outlineLevel="0" collapsed="false">
      <c r="A274" s="58" t="s">
        <v>586</v>
      </c>
      <c r="B274" s="46" t="s">
        <v>587</v>
      </c>
      <c r="C274" s="43" t="s">
        <v>41</v>
      </c>
      <c r="D274" s="44" t="s">
        <v>527</v>
      </c>
      <c r="E274" s="46" t="s">
        <v>155</v>
      </c>
      <c r="F274" s="46" t="n">
        <v>3</v>
      </c>
      <c r="G274" s="42" t="n">
        <v>1</v>
      </c>
      <c r="H274" s="46" t="s">
        <v>156</v>
      </c>
      <c r="I274" s="56" t="str">
        <f aca="false">A274</f>
        <v>S8.020.820</v>
      </c>
      <c r="J274" s="44"/>
      <c r="K274" s="46"/>
      <c r="L274" s="46"/>
      <c r="M274" s="60" t="n">
        <v>1</v>
      </c>
      <c r="N274" s="61" t="n">
        <v>1</v>
      </c>
      <c r="O274" s="61"/>
      <c r="P274" s="61" t="n">
        <v>0</v>
      </c>
      <c r="Q274" s="61" t="n">
        <v>1</v>
      </c>
      <c r="R274" s="61" t="n">
        <v>0</v>
      </c>
      <c r="S274" s="61" t="n">
        <v>1</v>
      </c>
      <c r="T274" s="61" t="n">
        <v>0</v>
      </c>
      <c r="U274" s="61" t="n">
        <v>0</v>
      </c>
      <c r="V274" s="61" t="n">
        <v>0</v>
      </c>
      <c r="W274" s="61" t="n">
        <v>0</v>
      </c>
      <c r="X274" s="61" t="n">
        <v>0</v>
      </c>
      <c r="Y274" s="61" t="n">
        <v>5</v>
      </c>
      <c r="Z274" s="61" t="n">
        <v>0</v>
      </c>
      <c r="AA274" s="61" t="n">
        <v>5</v>
      </c>
      <c r="AB274" s="61" t="n">
        <v>0</v>
      </c>
      <c r="AC274" s="61" t="n">
        <v>0</v>
      </c>
      <c r="AD274" s="62" t="n">
        <v>0</v>
      </c>
      <c r="AE274" s="39" t="n">
        <v>272</v>
      </c>
      <c r="AF274" s="50"/>
    </row>
    <row r="275" customFormat="false" ht="14.15" hidden="false" customHeight="false" outlineLevel="0" collapsed="false">
      <c r="A275" s="58" t="s">
        <v>588</v>
      </c>
      <c r="B275" s="46" t="s">
        <v>589</v>
      </c>
      <c r="C275" s="43" t="s">
        <v>41</v>
      </c>
      <c r="D275" s="44" t="s">
        <v>527</v>
      </c>
      <c r="E275" s="46" t="s">
        <v>155</v>
      </c>
      <c r="F275" s="46" t="n">
        <v>3</v>
      </c>
      <c r="G275" s="46" t="n">
        <v>1</v>
      </c>
      <c r="H275" s="46" t="s">
        <v>156</v>
      </c>
      <c r="I275" s="56" t="str">
        <f aca="false">A275</f>
        <v>S8.020.828</v>
      </c>
      <c r="J275" s="44"/>
      <c r="K275" s="46"/>
      <c r="L275" s="46"/>
      <c r="M275" s="60" t="n">
        <v>1</v>
      </c>
      <c r="N275" s="61" t="n">
        <v>1</v>
      </c>
      <c r="O275" s="61"/>
      <c r="P275" s="61" t="n">
        <v>0</v>
      </c>
      <c r="Q275" s="61" t="n">
        <v>1</v>
      </c>
      <c r="R275" s="61" t="n">
        <v>0</v>
      </c>
      <c r="S275" s="61" t="n">
        <v>1</v>
      </c>
      <c r="T275" s="61" t="n">
        <v>0</v>
      </c>
      <c r="U275" s="61" t="n">
        <v>0</v>
      </c>
      <c r="V275" s="61" t="n">
        <v>0</v>
      </c>
      <c r="W275" s="61" t="n">
        <v>0</v>
      </c>
      <c r="X275" s="61" t="n">
        <v>0</v>
      </c>
      <c r="Y275" s="61" t="n">
        <v>5</v>
      </c>
      <c r="Z275" s="61" t="n">
        <v>0</v>
      </c>
      <c r="AA275" s="61" t="n">
        <v>5</v>
      </c>
      <c r="AB275" s="61" t="n">
        <v>0</v>
      </c>
      <c r="AC275" s="61" t="n">
        <v>0</v>
      </c>
      <c r="AD275" s="62" t="n">
        <v>0</v>
      </c>
      <c r="AE275" s="39" t="n">
        <v>273</v>
      </c>
      <c r="AF275" s="50"/>
    </row>
    <row r="276" customFormat="false" ht="14.15" hidden="false" customHeight="false" outlineLevel="0" collapsed="false">
      <c r="A276" s="30" t="s">
        <v>590</v>
      </c>
      <c r="B276" s="31"/>
      <c r="C276" s="32"/>
      <c r="D276" s="33"/>
      <c r="E276" s="31"/>
      <c r="F276" s="31"/>
      <c r="G276" s="31"/>
      <c r="H276" s="35"/>
      <c r="I276" s="35"/>
      <c r="J276" s="33"/>
      <c r="K276" s="35"/>
      <c r="L276" s="35"/>
      <c r="M276" s="36" t="n">
        <f aca="false">SUM(M277:M284)</f>
        <v>8</v>
      </c>
      <c r="N276" s="37" t="n">
        <f aca="false">SUM(N277:N284)</f>
        <v>16</v>
      </c>
      <c r="O276" s="37"/>
      <c r="P276" s="37" t="n">
        <f aca="false">SUM(P277:P284)</f>
        <v>0</v>
      </c>
      <c r="Q276" s="65" t="n">
        <f aca="false">SUM(Q277:Q284)</f>
        <v>16</v>
      </c>
      <c r="R276" s="37" t="n">
        <f aca="false">SUM(R277:R284)</f>
        <v>0</v>
      </c>
      <c r="S276" s="37" t="n">
        <f aca="false">SUM(S277:S284)</f>
        <v>0</v>
      </c>
      <c r="T276" s="37" t="n">
        <f aca="false">SUM(T277:T284)</f>
        <v>0</v>
      </c>
      <c r="U276" s="37" t="n">
        <f aca="false">SUM(U277:U284)</f>
        <v>0</v>
      </c>
      <c r="V276" s="37" t="n">
        <f aca="false">SUM(V277:V284)</f>
        <v>0</v>
      </c>
      <c r="W276" s="37" t="n">
        <f aca="false">SUM(W277:W284)</f>
        <v>0</v>
      </c>
      <c r="X276" s="37" t="n">
        <f aca="false">SUM(X277:X284)</f>
        <v>48</v>
      </c>
      <c r="Y276" s="37" t="n">
        <f aca="false">SUM(Y277:Y284)</f>
        <v>0</v>
      </c>
      <c r="Z276" s="37" t="n">
        <f aca="false">SUM(Z277:Z284)</f>
        <v>0</v>
      </c>
      <c r="AA276" s="37" t="n">
        <f aca="false">SUM(AA277:AA284)</f>
        <v>24</v>
      </c>
      <c r="AB276" s="37" t="n">
        <f aca="false">SUM(AB277:AB284)</f>
        <v>80</v>
      </c>
      <c r="AC276" s="37" t="n">
        <f aca="false">SUM(AC277:AC284)</f>
        <v>8</v>
      </c>
      <c r="AD276" s="38" t="n">
        <f aca="false">SUM(AD277:AD284)</f>
        <v>0</v>
      </c>
      <c r="AE276" s="39" t="n">
        <v>274</v>
      </c>
      <c r="AF276" s="50"/>
    </row>
    <row r="277" customFormat="false" ht="14.15" hidden="false" customHeight="false" outlineLevel="0" collapsed="false">
      <c r="A277" s="41" t="s">
        <v>591</v>
      </c>
      <c r="B277" s="42" t="s">
        <v>592</v>
      </c>
      <c r="C277" s="43" t="s">
        <v>41</v>
      </c>
      <c r="D277" s="44" t="s">
        <v>593</v>
      </c>
      <c r="E277" s="46" t="s">
        <v>71</v>
      </c>
      <c r="F277" s="42" t="n">
        <v>2</v>
      </c>
      <c r="G277" s="42" t="n">
        <v>1</v>
      </c>
      <c r="H277" s="46" t="s">
        <v>72</v>
      </c>
      <c r="I277" s="56" t="str">
        <f aca="false">A277</f>
        <v>S1.020.100</v>
      </c>
      <c r="J277" s="44"/>
      <c r="K277" s="46"/>
      <c r="L277" s="46"/>
      <c r="M277" s="47" t="n">
        <v>1</v>
      </c>
      <c r="N277" s="48" t="n">
        <v>2</v>
      </c>
      <c r="O277" s="48"/>
      <c r="P277" s="48" t="n">
        <v>0</v>
      </c>
      <c r="Q277" s="48" t="n">
        <v>2</v>
      </c>
      <c r="R277" s="48" t="n">
        <v>0</v>
      </c>
      <c r="S277" s="48" t="n">
        <v>0</v>
      </c>
      <c r="T277" s="48" t="n">
        <v>0</v>
      </c>
      <c r="U277" s="48" t="n">
        <v>0</v>
      </c>
      <c r="V277" s="48" t="n">
        <v>0</v>
      </c>
      <c r="W277" s="48" t="n">
        <v>0</v>
      </c>
      <c r="X277" s="48" t="n">
        <v>6</v>
      </c>
      <c r="Y277" s="48" t="n">
        <v>0</v>
      </c>
      <c r="Z277" s="48" t="n">
        <v>0</v>
      </c>
      <c r="AA277" s="48" t="n">
        <v>3</v>
      </c>
      <c r="AB277" s="48" t="n">
        <v>10</v>
      </c>
      <c r="AC277" s="48" t="n">
        <v>1</v>
      </c>
      <c r="AD277" s="49" t="n">
        <v>0</v>
      </c>
      <c r="AE277" s="28" t="n">
        <v>275</v>
      </c>
      <c r="AF277" s="50"/>
    </row>
    <row r="278" customFormat="false" ht="14.15" hidden="false" customHeight="false" outlineLevel="0" collapsed="false">
      <c r="A278" s="58" t="s">
        <v>594</v>
      </c>
      <c r="B278" s="46" t="s">
        <v>595</v>
      </c>
      <c r="C278" s="43" t="s">
        <v>41</v>
      </c>
      <c r="D278" s="44" t="s">
        <v>593</v>
      </c>
      <c r="E278" s="46" t="s">
        <v>83</v>
      </c>
      <c r="F278" s="42" t="n">
        <v>2</v>
      </c>
      <c r="G278" s="42" t="n">
        <v>1</v>
      </c>
      <c r="H278" s="46" t="s">
        <v>84</v>
      </c>
      <c r="I278" s="56" t="str">
        <f aca="false">A278</f>
        <v>S2.020.200</v>
      </c>
      <c r="J278" s="44"/>
      <c r="K278" s="46"/>
      <c r="L278" s="46"/>
      <c r="M278" s="60" t="n">
        <v>1</v>
      </c>
      <c r="N278" s="61" t="n">
        <v>2</v>
      </c>
      <c r="O278" s="61"/>
      <c r="P278" s="61" t="n">
        <v>0</v>
      </c>
      <c r="Q278" s="61" t="n">
        <v>2</v>
      </c>
      <c r="R278" s="61" t="n">
        <v>0</v>
      </c>
      <c r="S278" s="61" t="n">
        <v>0</v>
      </c>
      <c r="T278" s="61" t="n">
        <v>0</v>
      </c>
      <c r="U278" s="61" t="n">
        <v>0</v>
      </c>
      <c r="V278" s="61" t="n">
        <v>0</v>
      </c>
      <c r="W278" s="61" t="n">
        <v>0</v>
      </c>
      <c r="X278" s="61" t="n">
        <v>6</v>
      </c>
      <c r="Y278" s="61" t="n">
        <v>0</v>
      </c>
      <c r="Z278" s="61" t="n">
        <v>0</v>
      </c>
      <c r="AA278" s="61" t="n">
        <v>3</v>
      </c>
      <c r="AB278" s="61" t="n">
        <v>10</v>
      </c>
      <c r="AC278" s="61" t="n">
        <v>1</v>
      </c>
      <c r="AD278" s="62" t="n">
        <v>0</v>
      </c>
      <c r="AE278" s="28" t="n">
        <v>276</v>
      </c>
      <c r="AF278" s="50"/>
    </row>
    <row r="279" customFormat="false" ht="15" hidden="false" customHeight="true" outlineLevel="0" collapsed="false">
      <c r="A279" s="58" t="s">
        <v>596</v>
      </c>
      <c r="B279" s="64" t="s">
        <v>597</v>
      </c>
      <c r="C279" s="43" t="s">
        <v>41</v>
      </c>
      <c r="D279" s="44" t="s">
        <v>593</v>
      </c>
      <c r="E279" s="46" t="s">
        <v>95</v>
      </c>
      <c r="F279" s="42" t="n">
        <v>2</v>
      </c>
      <c r="G279" s="42" t="n">
        <v>1</v>
      </c>
      <c r="H279" s="46" t="s">
        <v>96</v>
      </c>
      <c r="I279" s="56" t="str">
        <f aca="false">A279</f>
        <v>S3.020.300</v>
      </c>
      <c r="J279" s="44"/>
      <c r="K279" s="46"/>
      <c r="L279" s="46"/>
      <c r="M279" s="60" t="n">
        <v>1</v>
      </c>
      <c r="N279" s="61" t="n">
        <v>2</v>
      </c>
      <c r="O279" s="61"/>
      <c r="P279" s="61" t="n">
        <v>0</v>
      </c>
      <c r="Q279" s="61" t="n">
        <v>2</v>
      </c>
      <c r="R279" s="61" t="n">
        <v>0</v>
      </c>
      <c r="S279" s="61" t="n">
        <v>0</v>
      </c>
      <c r="T279" s="61" t="n">
        <v>0</v>
      </c>
      <c r="U279" s="61" t="n">
        <v>0</v>
      </c>
      <c r="V279" s="61" t="n">
        <v>0</v>
      </c>
      <c r="W279" s="61" t="n">
        <v>0</v>
      </c>
      <c r="X279" s="61" t="n">
        <v>6</v>
      </c>
      <c r="Y279" s="61" t="n">
        <v>0</v>
      </c>
      <c r="Z279" s="61" t="n">
        <v>0</v>
      </c>
      <c r="AA279" s="61" t="n">
        <v>3</v>
      </c>
      <c r="AB279" s="61" t="n">
        <v>10</v>
      </c>
      <c r="AC279" s="61" t="n">
        <v>1</v>
      </c>
      <c r="AD279" s="62" t="n">
        <v>0</v>
      </c>
      <c r="AE279" s="39" t="n">
        <v>277</v>
      </c>
      <c r="AF279" s="50"/>
    </row>
    <row r="280" customFormat="false" ht="14.15" hidden="false" customHeight="false" outlineLevel="0" collapsed="false">
      <c r="A280" s="58" t="s">
        <v>598</v>
      </c>
      <c r="B280" s="46" t="s">
        <v>599</v>
      </c>
      <c r="C280" s="43" t="s">
        <v>41</v>
      </c>
      <c r="D280" s="44" t="s">
        <v>593</v>
      </c>
      <c r="E280" s="46" t="s">
        <v>107</v>
      </c>
      <c r="F280" s="42" t="n">
        <v>2</v>
      </c>
      <c r="G280" s="42" t="n">
        <v>1</v>
      </c>
      <c r="H280" s="46" t="s">
        <v>108</v>
      </c>
      <c r="I280" s="56" t="str">
        <f aca="false">A280</f>
        <v>S4.020.400</v>
      </c>
      <c r="J280" s="44"/>
      <c r="K280" s="46"/>
      <c r="L280" s="46"/>
      <c r="M280" s="60" t="n">
        <v>1</v>
      </c>
      <c r="N280" s="61" t="n">
        <v>2</v>
      </c>
      <c r="O280" s="61"/>
      <c r="P280" s="61" t="n">
        <v>0</v>
      </c>
      <c r="Q280" s="61" t="n">
        <v>2</v>
      </c>
      <c r="R280" s="61" t="n">
        <v>0</v>
      </c>
      <c r="S280" s="61" t="n">
        <v>0</v>
      </c>
      <c r="T280" s="61" t="n">
        <v>0</v>
      </c>
      <c r="U280" s="61" t="n">
        <v>0</v>
      </c>
      <c r="V280" s="61" t="n">
        <v>0</v>
      </c>
      <c r="W280" s="61" t="n">
        <v>0</v>
      </c>
      <c r="X280" s="61" t="n">
        <v>6</v>
      </c>
      <c r="Y280" s="61" t="n">
        <v>0</v>
      </c>
      <c r="Z280" s="61" t="n">
        <v>0</v>
      </c>
      <c r="AA280" s="61" t="n">
        <v>3</v>
      </c>
      <c r="AB280" s="61" t="n">
        <v>10</v>
      </c>
      <c r="AC280" s="61" t="n">
        <v>1</v>
      </c>
      <c r="AD280" s="62" t="n">
        <v>0</v>
      </c>
      <c r="AE280" s="39" t="n">
        <v>278</v>
      </c>
      <c r="AF280" s="50"/>
    </row>
    <row r="281" customFormat="false" ht="14.15" hidden="false" customHeight="false" outlineLevel="0" collapsed="false">
      <c r="A281" s="58" t="s">
        <v>600</v>
      </c>
      <c r="B281" s="46" t="s">
        <v>601</v>
      </c>
      <c r="C281" s="43" t="s">
        <v>41</v>
      </c>
      <c r="D281" s="44" t="s">
        <v>593</v>
      </c>
      <c r="E281" s="46" t="s">
        <v>119</v>
      </c>
      <c r="F281" s="42" t="n">
        <v>2</v>
      </c>
      <c r="G281" s="42" t="n">
        <v>1</v>
      </c>
      <c r="H281" s="46" t="s">
        <v>120</v>
      </c>
      <c r="I281" s="56" t="str">
        <f aca="false">A281</f>
        <v>S5.020.500</v>
      </c>
      <c r="J281" s="44"/>
      <c r="K281" s="46"/>
      <c r="L281" s="46"/>
      <c r="M281" s="60" t="n">
        <v>1</v>
      </c>
      <c r="N281" s="61" t="n">
        <v>2</v>
      </c>
      <c r="O281" s="61"/>
      <c r="P281" s="61" t="n">
        <v>0</v>
      </c>
      <c r="Q281" s="61" t="n">
        <v>2</v>
      </c>
      <c r="R281" s="61" t="n">
        <v>0</v>
      </c>
      <c r="S281" s="61" t="n">
        <v>0</v>
      </c>
      <c r="T281" s="61" t="n">
        <v>0</v>
      </c>
      <c r="U281" s="61" t="n">
        <v>0</v>
      </c>
      <c r="V281" s="61" t="n">
        <v>0</v>
      </c>
      <c r="W281" s="61" t="n">
        <v>0</v>
      </c>
      <c r="X281" s="61" t="n">
        <v>6</v>
      </c>
      <c r="Y281" s="61" t="n">
        <v>0</v>
      </c>
      <c r="Z281" s="61" t="n">
        <v>0</v>
      </c>
      <c r="AA281" s="61" t="n">
        <v>3</v>
      </c>
      <c r="AB281" s="61" t="n">
        <v>10</v>
      </c>
      <c r="AC281" s="61" t="n">
        <v>1</v>
      </c>
      <c r="AD281" s="62" t="n">
        <v>0</v>
      </c>
      <c r="AE281" s="39" t="n">
        <v>279</v>
      </c>
      <c r="AF281" s="50"/>
    </row>
    <row r="282" customFormat="false" ht="14.15" hidden="false" customHeight="false" outlineLevel="0" collapsed="false">
      <c r="A282" s="58" t="s">
        <v>602</v>
      </c>
      <c r="B282" s="46" t="s">
        <v>603</v>
      </c>
      <c r="C282" s="43" t="s">
        <v>41</v>
      </c>
      <c r="D282" s="44" t="s">
        <v>593</v>
      </c>
      <c r="E282" s="46" t="s">
        <v>131</v>
      </c>
      <c r="F282" s="42" t="n">
        <v>2</v>
      </c>
      <c r="G282" s="42" t="n">
        <v>1</v>
      </c>
      <c r="H282" s="46" t="s">
        <v>132</v>
      </c>
      <c r="I282" s="56" t="str">
        <f aca="false">A282</f>
        <v>S6.020.600</v>
      </c>
      <c r="J282" s="44"/>
      <c r="K282" s="46"/>
      <c r="L282" s="46"/>
      <c r="M282" s="60" t="n">
        <v>1</v>
      </c>
      <c r="N282" s="61" t="n">
        <v>2</v>
      </c>
      <c r="O282" s="61"/>
      <c r="P282" s="61" t="n">
        <v>0</v>
      </c>
      <c r="Q282" s="61" t="n">
        <v>2</v>
      </c>
      <c r="R282" s="61" t="n">
        <v>0</v>
      </c>
      <c r="S282" s="61" t="n">
        <v>0</v>
      </c>
      <c r="T282" s="61" t="n">
        <v>0</v>
      </c>
      <c r="U282" s="61" t="n">
        <v>0</v>
      </c>
      <c r="V282" s="61" t="n">
        <v>0</v>
      </c>
      <c r="W282" s="61" t="n">
        <v>0</v>
      </c>
      <c r="X282" s="61" t="n">
        <v>6</v>
      </c>
      <c r="Y282" s="61" t="n">
        <v>0</v>
      </c>
      <c r="Z282" s="61" t="n">
        <v>0</v>
      </c>
      <c r="AA282" s="61" t="n">
        <v>3</v>
      </c>
      <c r="AB282" s="61" t="n">
        <v>10</v>
      </c>
      <c r="AC282" s="61" t="n">
        <v>1</v>
      </c>
      <c r="AD282" s="62" t="n">
        <v>0</v>
      </c>
      <c r="AE282" s="28" t="n">
        <v>280</v>
      </c>
      <c r="AF282" s="50"/>
    </row>
    <row r="283" customFormat="false" ht="14.15" hidden="false" customHeight="false" outlineLevel="0" collapsed="false">
      <c r="A283" s="58" t="s">
        <v>604</v>
      </c>
      <c r="B283" s="46" t="s">
        <v>605</v>
      </c>
      <c r="C283" s="43" t="s">
        <v>41</v>
      </c>
      <c r="D283" s="44" t="s">
        <v>593</v>
      </c>
      <c r="E283" s="46" t="s">
        <v>143</v>
      </c>
      <c r="F283" s="42" t="n">
        <v>2</v>
      </c>
      <c r="G283" s="42" t="n">
        <v>1</v>
      </c>
      <c r="H283" s="46" t="s">
        <v>144</v>
      </c>
      <c r="I283" s="56" t="str">
        <f aca="false">A283</f>
        <v>S7.020.700</v>
      </c>
      <c r="J283" s="44"/>
      <c r="K283" s="46"/>
      <c r="L283" s="46"/>
      <c r="M283" s="60" t="n">
        <v>1</v>
      </c>
      <c r="N283" s="61" t="n">
        <v>2</v>
      </c>
      <c r="O283" s="61"/>
      <c r="P283" s="61" t="n">
        <v>0</v>
      </c>
      <c r="Q283" s="61" t="n">
        <v>2</v>
      </c>
      <c r="R283" s="61" t="n">
        <v>0</v>
      </c>
      <c r="S283" s="61" t="n">
        <v>0</v>
      </c>
      <c r="T283" s="61" t="n">
        <v>0</v>
      </c>
      <c r="U283" s="61" t="n">
        <v>0</v>
      </c>
      <c r="V283" s="61" t="n">
        <v>0</v>
      </c>
      <c r="W283" s="61" t="n">
        <v>0</v>
      </c>
      <c r="X283" s="61" t="n">
        <v>6</v>
      </c>
      <c r="Y283" s="61" t="n">
        <v>0</v>
      </c>
      <c r="Z283" s="61" t="n">
        <v>0</v>
      </c>
      <c r="AA283" s="61" t="n">
        <v>3</v>
      </c>
      <c r="AB283" s="61" t="n">
        <v>10</v>
      </c>
      <c r="AC283" s="61" t="n">
        <v>1</v>
      </c>
      <c r="AD283" s="62" t="n">
        <v>0</v>
      </c>
      <c r="AE283" s="28" t="n">
        <v>281</v>
      </c>
      <c r="AF283" s="50"/>
    </row>
    <row r="284" customFormat="false" ht="14.15" hidden="false" customHeight="false" outlineLevel="0" collapsed="false">
      <c r="A284" s="58" t="s">
        <v>606</v>
      </c>
      <c r="B284" s="46" t="s">
        <v>607</v>
      </c>
      <c r="C284" s="43" t="s">
        <v>41</v>
      </c>
      <c r="D284" s="44" t="s">
        <v>593</v>
      </c>
      <c r="E284" s="46" t="s">
        <v>155</v>
      </c>
      <c r="F284" s="42" t="n">
        <v>2</v>
      </c>
      <c r="G284" s="42" t="n">
        <v>1</v>
      </c>
      <c r="H284" s="46" t="s">
        <v>156</v>
      </c>
      <c r="I284" s="56" t="str">
        <f aca="false">A284</f>
        <v>S8.020.800</v>
      </c>
      <c r="J284" s="44"/>
      <c r="K284" s="46"/>
      <c r="L284" s="46"/>
      <c r="M284" s="60" t="n">
        <v>1</v>
      </c>
      <c r="N284" s="61" t="n">
        <v>2</v>
      </c>
      <c r="O284" s="61"/>
      <c r="P284" s="61" t="n">
        <v>0</v>
      </c>
      <c r="Q284" s="61" t="n">
        <v>2</v>
      </c>
      <c r="R284" s="61" t="n">
        <v>0</v>
      </c>
      <c r="S284" s="61" t="n">
        <v>0</v>
      </c>
      <c r="T284" s="61" t="n">
        <v>0</v>
      </c>
      <c r="U284" s="61" t="n">
        <v>0</v>
      </c>
      <c r="V284" s="61" t="n">
        <v>0</v>
      </c>
      <c r="W284" s="61" t="n">
        <v>0</v>
      </c>
      <c r="X284" s="61" t="n">
        <v>6</v>
      </c>
      <c r="Y284" s="61" t="n">
        <v>0</v>
      </c>
      <c r="Z284" s="61" t="n">
        <v>0</v>
      </c>
      <c r="AA284" s="61" t="n">
        <v>3</v>
      </c>
      <c r="AB284" s="61" t="n">
        <v>10</v>
      </c>
      <c r="AC284" s="61" t="n">
        <v>1</v>
      </c>
      <c r="AD284" s="62" t="n">
        <v>0</v>
      </c>
      <c r="AE284" s="39" t="n">
        <v>282</v>
      </c>
      <c r="AF284" s="50"/>
    </row>
    <row r="285" customFormat="false" ht="14.15" hidden="false" customHeight="false" outlineLevel="0" collapsed="false">
      <c r="A285" s="30" t="s">
        <v>608</v>
      </c>
      <c r="B285" s="31"/>
      <c r="C285" s="32"/>
      <c r="D285" s="33"/>
      <c r="E285" s="31"/>
      <c r="F285" s="31"/>
      <c r="G285" s="31"/>
      <c r="H285" s="35"/>
      <c r="I285" s="35"/>
      <c r="J285" s="33"/>
      <c r="K285" s="35"/>
      <c r="L285" s="35"/>
      <c r="M285" s="36" t="n">
        <f aca="false">SUM(M286:M287)</f>
        <v>2</v>
      </c>
      <c r="N285" s="37" t="n">
        <f aca="false">SUM(N286:N287)</f>
        <v>2</v>
      </c>
      <c r="O285" s="37"/>
      <c r="P285" s="37" t="n">
        <f aca="false">SUM(P286:P287)</f>
        <v>2</v>
      </c>
      <c r="Q285" s="65" t="n">
        <f aca="false">SUM(Q286:Q287)</f>
        <v>0</v>
      </c>
      <c r="R285" s="37" t="n">
        <f aca="false">SUM(R286:R287)</f>
        <v>0</v>
      </c>
      <c r="S285" s="37" t="n">
        <f aca="false">SUM(S286:S287)</f>
        <v>0</v>
      </c>
      <c r="T285" s="37" t="n">
        <f aca="false">SUM(T286:T287)</f>
        <v>4</v>
      </c>
      <c r="U285" s="37" t="n">
        <f aca="false">SUM(U286:U287)</f>
        <v>2</v>
      </c>
      <c r="V285" s="37" t="n">
        <f aca="false">SUM(V286:V287)</f>
        <v>0</v>
      </c>
      <c r="W285" s="37" t="n">
        <f aca="false">SUM(W286:W287)</f>
        <v>0</v>
      </c>
      <c r="X285" s="37" t="n">
        <f aca="false">SUM(X286:X287)</f>
        <v>0</v>
      </c>
      <c r="Y285" s="37" t="n">
        <f aca="false">SUM(Y286:Y287)</f>
        <v>0</v>
      </c>
      <c r="Z285" s="37" t="n">
        <f aca="false">SUM(Z286:Z287)</f>
        <v>4</v>
      </c>
      <c r="AA285" s="37" t="n">
        <f aca="false">SUM(AA286:AA287)</f>
        <v>2</v>
      </c>
      <c r="AB285" s="37" t="n">
        <f aca="false">SUM(AB286:AB287)</f>
        <v>0</v>
      </c>
      <c r="AC285" s="37" t="n">
        <f aca="false">SUM(AC286:AC287)</f>
        <v>0</v>
      </c>
      <c r="AD285" s="38" t="n">
        <f aca="false">SUM(AD286:AD287)</f>
        <v>0</v>
      </c>
      <c r="AE285" s="39" t="n">
        <v>283</v>
      </c>
      <c r="AF285" s="50"/>
    </row>
    <row r="286" customFormat="false" ht="14.15" hidden="false" customHeight="false" outlineLevel="0" collapsed="false">
      <c r="A286" s="41" t="s">
        <v>609</v>
      </c>
      <c r="B286" s="42" t="s">
        <v>610</v>
      </c>
      <c r="C286" s="43" t="s">
        <v>611</v>
      </c>
      <c r="D286" s="44" t="s">
        <v>612</v>
      </c>
      <c r="E286" s="42" t="s">
        <v>43</v>
      </c>
      <c r="F286" s="42" t="n">
        <v>5</v>
      </c>
      <c r="G286" s="42" t="n">
        <v>2</v>
      </c>
      <c r="H286" s="46" t="s">
        <v>44</v>
      </c>
      <c r="I286" s="45" t="s">
        <v>613</v>
      </c>
      <c r="J286" s="44"/>
      <c r="K286" s="46"/>
      <c r="L286" s="46"/>
      <c r="M286" s="47" t="n">
        <v>1</v>
      </c>
      <c r="N286" s="48" t="n">
        <v>1</v>
      </c>
      <c r="O286" s="48"/>
      <c r="P286" s="48" t="n">
        <v>1</v>
      </c>
      <c r="Q286" s="61" t="n">
        <v>0</v>
      </c>
      <c r="R286" s="48" t="n">
        <v>0</v>
      </c>
      <c r="S286" s="48" t="n">
        <v>0</v>
      </c>
      <c r="T286" s="48" t="n">
        <v>2</v>
      </c>
      <c r="U286" s="48" t="n">
        <v>1</v>
      </c>
      <c r="V286" s="48" t="n">
        <v>0</v>
      </c>
      <c r="W286" s="48" t="n">
        <v>0</v>
      </c>
      <c r="X286" s="48" t="n">
        <v>0</v>
      </c>
      <c r="Y286" s="48" t="n">
        <v>0</v>
      </c>
      <c r="Z286" s="48" t="n">
        <v>2</v>
      </c>
      <c r="AA286" s="48" t="n">
        <v>1</v>
      </c>
      <c r="AB286" s="48" t="n">
        <v>0</v>
      </c>
      <c r="AC286" s="48" t="n">
        <v>0</v>
      </c>
      <c r="AD286" s="49" t="n">
        <v>0</v>
      </c>
      <c r="AE286" s="39" t="n">
        <v>284</v>
      </c>
      <c r="AF286" s="50"/>
    </row>
    <row r="287" customFormat="false" ht="14.15" hidden="false" customHeight="false" outlineLevel="0" collapsed="false">
      <c r="A287" s="58" t="s">
        <v>614</v>
      </c>
      <c r="B287" s="46" t="s">
        <v>615</v>
      </c>
      <c r="C287" s="59" t="s">
        <v>611</v>
      </c>
      <c r="D287" s="63" t="s">
        <v>612</v>
      </c>
      <c r="E287" s="46" t="s">
        <v>57</v>
      </c>
      <c r="F287" s="46" t="n">
        <v>6</v>
      </c>
      <c r="G287" s="46" t="n">
        <v>2</v>
      </c>
      <c r="H287" s="46" t="s">
        <v>58</v>
      </c>
      <c r="I287" s="45" t="s">
        <v>616</v>
      </c>
      <c r="J287" s="63"/>
      <c r="K287" s="46"/>
      <c r="L287" s="46"/>
      <c r="M287" s="60" t="n">
        <v>1</v>
      </c>
      <c r="N287" s="61" t="n">
        <v>1</v>
      </c>
      <c r="O287" s="61"/>
      <c r="P287" s="61" t="n">
        <v>1</v>
      </c>
      <c r="Q287" s="61" t="n">
        <v>0</v>
      </c>
      <c r="R287" s="61" t="n">
        <v>0</v>
      </c>
      <c r="S287" s="61" t="n">
        <v>0</v>
      </c>
      <c r="T287" s="61" t="n">
        <v>2</v>
      </c>
      <c r="U287" s="61" t="n">
        <v>1</v>
      </c>
      <c r="V287" s="61" t="n">
        <v>0</v>
      </c>
      <c r="W287" s="61" t="n">
        <v>0</v>
      </c>
      <c r="X287" s="61" t="n">
        <v>0</v>
      </c>
      <c r="Y287" s="61" t="n">
        <v>0</v>
      </c>
      <c r="Z287" s="61" t="n">
        <v>2</v>
      </c>
      <c r="AA287" s="61" t="n">
        <v>1</v>
      </c>
      <c r="AB287" s="61" t="n">
        <v>0</v>
      </c>
      <c r="AC287" s="61" t="n">
        <v>0</v>
      </c>
      <c r="AD287" s="62" t="n">
        <v>0</v>
      </c>
      <c r="AE287" s="28" t="n">
        <v>285</v>
      </c>
      <c r="AF287" s="50"/>
    </row>
    <row r="288" customFormat="false" ht="15.75" hidden="false" customHeight="true" outlineLevel="0" collapsed="false">
      <c r="A288" s="30" t="s">
        <v>617</v>
      </c>
      <c r="B288" s="31"/>
      <c r="C288" s="32"/>
      <c r="D288" s="33"/>
      <c r="E288" s="31"/>
      <c r="F288" s="31"/>
      <c r="G288" s="31"/>
      <c r="H288" s="35"/>
      <c r="I288" s="35"/>
      <c r="J288" s="33"/>
      <c r="K288" s="35"/>
      <c r="L288" s="35"/>
      <c r="M288" s="36" t="n">
        <f aca="false">SUM(M289:M312)</f>
        <v>20</v>
      </c>
      <c r="N288" s="37" t="n">
        <f aca="false">SUM(N289:N312)</f>
        <v>20</v>
      </c>
      <c r="O288" s="37"/>
      <c r="P288" s="37" t="n">
        <f aca="false">SUM(P289:P312)</f>
        <v>20</v>
      </c>
      <c r="Q288" s="65" t="n">
        <f aca="false">SUM(Q289:Q312)</f>
        <v>0</v>
      </c>
      <c r="R288" s="37" t="n">
        <f aca="false">SUM(R289:R312)</f>
        <v>20</v>
      </c>
      <c r="S288" s="37" t="n">
        <f aca="false">SUM(S289:S312)</f>
        <v>0</v>
      </c>
      <c r="T288" s="37" t="n">
        <f aca="false">SUM(T289:T312)</f>
        <v>0</v>
      </c>
      <c r="U288" s="37" t="n">
        <f aca="false">SUM(U289:U312)</f>
        <v>0</v>
      </c>
      <c r="V288" s="37" t="n">
        <f aca="false">SUM(V289:V312)</f>
        <v>20</v>
      </c>
      <c r="W288" s="37" t="n">
        <f aca="false">SUM(W289:W312)</f>
        <v>20</v>
      </c>
      <c r="X288" s="37" t="n">
        <f aca="false">SUM(X289:X312)</f>
        <v>0</v>
      </c>
      <c r="Y288" s="37" t="n">
        <f aca="false">SUM(Y289:Y312)</f>
        <v>0</v>
      </c>
      <c r="Z288" s="37" t="n">
        <f aca="false">SUM(Z289:Z312)</f>
        <v>0</v>
      </c>
      <c r="AA288" s="37" t="n">
        <f aca="false">SUM(AA289:AA312)</f>
        <v>20</v>
      </c>
      <c r="AB288" s="37" t="n">
        <f aca="false">SUM(AB289:AB312)</f>
        <v>0</v>
      </c>
      <c r="AC288" s="37" t="n">
        <f aca="false">SUM(AC289:AC312)</f>
        <v>0</v>
      </c>
      <c r="AD288" s="38" t="n">
        <f aca="false">SUM(AD289:AD312)</f>
        <v>0</v>
      </c>
      <c r="AE288" s="28" t="n">
        <v>286</v>
      </c>
      <c r="AF288" s="50"/>
    </row>
    <row r="289" customFormat="false" ht="15.75" hidden="false" customHeight="true" outlineLevel="0" collapsed="false">
      <c r="A289" s="41" t="s">
        <v>618</v>
      </c>
      <c r="B289" s="42" t="s">
        <v>619</v>
      </c>
      <c r="C289" s="43" t="s">
        <v>41</v>
      </c>
      <c r="D289" s="44" t="s">
        <v>620</v>
      </c>
      <c r="E289" s="42" t="s">
        <v>43</v>
      </c>
      <c r="F289" s="42" t="n">
        <v>7</v>
      </c>
      <c r="G289" s="42" t="n">
        <v>2</v>
      </c>
      <c r="H289" s="46" t="s">
        <v>44</v>
      </c>
      <c r="I289" s="56" t="str">
        <f aca="false">A289</f>
        <v>A1.030.028</v>
      </c>
      <c r="J289" s="44"/>
      <c r="K289" s="46"/>
      <c r="L289" s="46"/>
      <c r="M289" s="47" t="n">
        <v>1</v>
      </c>
      <c r="N289" s="48" t="n">
        <v>1</v>
      </c>
      <c r="O289" s="48"/>
      <c r="P289" s="48" t="n">
        <v>1</v>
      </c>
      <c r="Q289" s="61" t="n">
        <v>0</v>
      </c>
      <c r="R289" s="48" t="n">
        <v>1</v>
      </c>
      <c r="S289" s="48" t="n">
        <v>0</v>
      </c>
      <c r="T289" s="48" t="n">
        <v>0</v>
      </c>
      <c r="U289" s="48" t="n">
        <v>0</v>
      </c>
      <c r="V289" s="77" t="n">
        <v>1</v>
      </c>
      <c r="W289" s="48" t="n">
        <v>1</v>
      </c>
      <c r="X289" s="48" t="n">
        <v>0</v>
      </c>
      <c r="Y289" s="48" t="n">
        <v>0</v>
      </c>
      <c r="Z289" s="48" t="n">
        <v>0</v>
      </c>
      <c r="AA289" s="48" t="n">
        <v>1</v>
      </c>
      <c r="AB289" s="48" t="n">
        <v>0</v>
      </c>
      <c r="AC289" s="48" t="n">
        <v>0</v>
      </c>
      <c r="AD289" s="49" t="n">
        <v>0</v>
      </c>
      <c r="AE289" s="39" t="n">
        <v>287</v>
      </c>
      <c r="AF289" s="50"/>
    </row>
    <row r="290" customFormat="false" ht="15" hidden="false" customHeight="true" outlineLevel="0" collapsed="false">
      <c r="A290" s="58" t="s">
        <v>621</v>
      </c>
      <c r="B290" s="46" t="s">
        <v>622</v>
      </c>
      <c r="C290" s="43" t="s">
        <v>41</v>
      </c>
      <c r="D290" s="44" t="s">
        <v>620</v>
      </c>
      <c r="E290" s="42" t="s">
        <v>43</v>
      </c>
      <c r="F290" s="46" t="n">
        <v>7</v>
      </c>
      <c r="G290" s="46" t="n">
        <v>2</v>
      </c>
      <c r="H290" s="46" t="s">
        <v>44</v>
      </c>
      <c r="I290" s="56" t="str">
        <f aca="false">A290</f>
        <v>A1.030.029</v>
      </c>
      <c r="J290" s="44"/>
      <c r="K290" s="46"/>
      <c r="L290" s="46"/>
      <c r="M290" s="60" t="n">
        <v>1</v>
      </c>
      <c r="N290" s="61" t="n">
        <v>1</v>
      </c>
      <c r="O290" s="61"/>
      <c r="P290" s="61" t="n">
        <v>1</v>
      </c>
      <c r="Q290" s="61" t="n">
        <v>0</v>
      </c>
      <c r="R290" s="61" t="n">
        <v>1</v>
      </c>
      <c r="S290" s="61" t="n">
        <v>0</v>
      </c>
      <c r="T290" s="61" t="n">
        <v>0</v>
      </c>
      <c r="U290" s="61" t="n">
        <v>0</v>
      </c>
      <c r="V290" s="78" t="n">
        <v>1</v>
      </c>
      <c r="W290" s="61" t="n">
        <v>1</v>
      </c>
      <c r="X290" s="61" t="n">
        <v>0</v>
      </c>
      <c r="Y290" s="61" t="n">
        <v>0</v>
      </c>
      <c r="Z290" s="61" t="n">
        <v>0</v>
      </c>
      <c r="AA290" s="61" t="n">
        <v>1</v>
      </c>
      <c r="AB290" s="61" t="n">
        <v>0</v>
      </c>
      <c r="AC290" s="61" t="n">
        <v>0</v>
      </c>
      <c r="AD290" s="62" t="n">
        <v>0</v>
      </c>
      <c r="AE290" s="39" t="n">
        <v>288</v>
      </c>
      <c r="AF290" s="50"/>
    </row>
    <row r="291" customFormat="false" ht="15" hidden="false" customHeight="true" outlineLevel="0" collapsed="false">
      <c r="A291" s="58" t="s">
        <v>623</v>
      </c>
      <c r="B291" s="46" t="s">
        <v>624</v>
      </c>
      <c r="C291" s="43" t="s">
        <v>41</v>
      </c>
      <c r="D291" s="44" t="s">
        <v>620</v>
      </c>
      <c r="E291" s="42" t="s">
        <v>43</v>
      </c>
      <c r="F291" s="46" t="n">
        <v>7</v>
      </c>
      <c r="G291" s="42" t="n">
        <v>2</v>
      </c>
      <c r="H291" s="46" t="s">
        <v>44</v>
      </c>
      <c r="I291" s="56" t="str">
        <f aca="false">A291</f>
        <v>A1.030.030</v>
      </c>
      <c r="J291" s="44"/>
      <c r="K291" s="46"/>
      <c r="L291" s="46"/>
      <c r="M291" s="60" t="n">
        <v>1</v>
      </c>
      <c r="N291" s="61" t="n">
        <v>1</v>
      </c>
      <c r="O291" s="61"/>
      <c r="P291" s="61" t="n">
        <v>1</v>
      </c>
      <c r="Q291" s="61" t="n">
        <v>0</v>
      </c>
      <c r="R291" s="61" t="n">
        <v>1</v>
      </c>
      <c r="S291" s="61" t="n">
        <v>0</v>
      </c>
      <c r="T291" s="61" t="n">
        <v>0</v>
      </c>
      <c r="U291" s="61" t="n">
        <v>0</v>
      </c>
      <c r="V291" s="61" t="n">
        <v>1</v>
      </c>
      <c r="W291" s="61" t="n">
        <v>1</v>
      </c>
      <c r="X291" s="61" t="n">
        <v>0</v>
      </c>
      <c r="Y291" s="61" t="n">
        <v>0</v>
      </c>
      <c r="Z291" s="61" t="n">
        <v>0</v>
      </c>
      <c r="AA291" s="61" t="n">
        <v>1</v>
      </c>
      <c r="AB291" s="61" t="n">
        <v>0</v>
      </c>
      <c r="AC291" s="61" t="n">
        <v>0</v>
      </c>
      <c r="AD291" s="62" t="n">
        <v>0</v>
      </c>
      <c r="AE291" s="39" t="n">
        <v>289</v>
      </c>
      <c r="AF291" s="50"/>
    </row>
    <row r="292" customFormat="false" ht="15" hidden="false" customHeight="true" outlineLevel="0" collapsed="false">
      <c r="A292" s="58" t="s">
        <v>625</v>
      </c>
      <c r="B292" s="46" t="s">
        <v>626</v>
      </c>
      <c r="C292" s="43" t="s">
        <v>41</v>
      </c>
      <c r="D292" s="44" t="s">
        <v>620</v>
      </c>
      <c r="E292" s="42" t="s">
        <v>43</v>
      </c>
      <c r="F292" s="46" t="n">
        <v>5</v>
      </c>
      <c r="G292" s="46" t="n">
        <v>2</v>
      </c>
      <c r="H292" s="46" t="s">
        <v>44</v>
      </c>
      <c r="I292" s="56" t="str">
        <f aca="false">A292</f>
        <v>A1.030.034</v>
      </c>
      <c r="J292" s="44"/>
      <c r="K292" s="46"/>
      <c r="L292" s="46"/>
      <c r="M292" s="60" t="n">
        <v>1</v>
      </c>
      <c r="N292" s="61" t="n">
        <v>1</v>
      </c>
      <c r="O292" s="61"/>
      <c r="P292" s="61" t="n">
        <v>1</v>
      </c>
      <c r="Q292" s="61" t="n">
        <v>0</v>
      </c>
      <c r="R292" s="61" t="n">
        <v>1</v>
      </c>
      <c r="S292" s="61" t="n">
        <v>0</v>
      </c>
      <c r="T292" s="61" t="n">
        <v>0</v>
      </c>
      <c r="U292" s="61" t="n">
        <v>0</v>
      </c>
      <c r="V292" s="61" t="n">
        <v>1</v>
      </c>
      <c r="W292" s="61" t="n">
        <v>1</v>
      </c>
      <c r="X292" s="61" t="n">
        <v>0</v>
      </c>
      <c r="Y292" s="61" t="n">
        <v>0</v>
      </c>
      <c r="Z292" s="61" t="n">
        <v>0</v>
      </c>
      <c r="AA292" s="61" t="n">
        <v>1</v>
      </c>
      <c r="AB292" s="61" t="n">
        <v>0</v>
      </c>
      <c r="AC292" s="61" t="n">
        <v>0</v>
      </c>
      <c r="AD292" s="62" t="n">
        <v>0</v>
      </c>
      <c r="AE292" s="28" t="n">
        <v>290</v>
      </c>
      <c r="AF292" s="50"/>
    </row>
    <row r="293" customFormat="false" ht="14.15" hidden="false" customHeight="false" outlineLevel="0" collapsed="false">
      <c r="A293" s="58" t="s">
        <v>627</v>
      </c>
      <c r="B293" s="46" t="s">
        <v>628</v>
      </c>
      <c r="C293" s="43" t="s">
        <v>41</v>
      </c>
      <c r="D293" s="44" t="s">
        <v>620</v>
      </c>
      <c r="E293" s="42" t="s">
        <v>43</v>
      </c>
      <c r="F293" s="46" t="n">
        <v>5</v>
      </c>
      <c r="G293" s="42" t="n">
        <v>2</v>
      </c>
      <c r="H293" s="46" t="s">
        <v>44</v>
      </c>
      <c r="I293" s="56" t="str">
        <f aca="false">A293</f>
        <v>A1.030.035</v>
      </c>
      <c r="J293" s="44"/>
      <c r="K293" s="46"/>
      <c r="L293" s="46"/>
      <c r="M293" s="60" t="n">
        <v>1</v>
      </c>
      <c r="N293" s="61" t="n">
        <v>1</v>
      </c>
      <c r="O293" s="61"/>
      <c r="P293" s="61" t="n">
        <v>1</v>
      </c>
      <c r="Q293" s="61" t="n">
        <v>0</v>
      </c>
      <c r="R293" s="61" t="n">
        <v>1</v>
      </c>
      <c r="S293" s="61" t="n">
        <v>0</v>
      </c>
      <c r="T293" s="61" t="n">
        <v>0</v>
      </c>
      <c r="U293" s="61" t="n">
        <v>0</v>
      </c>
      <c r="V293" s="61" t="n">
        <v>1</v>
      </c>
      <c r="W293" s="61" t="n">
        <v>1</v>
      </c>
      <c r="X293" s="61" t="n">
        <v>0</v>
      </c>
      <c r="Y293" s="61" t="n">
        <v>0</v>
      </c>
      <c r="Z293" s="61" t="n">
        <v>0</v>
      </c>
      <c r="AA293" s="61" t="n">
        <v>1</v>
      </c>
      <c r="AB293" s="61" t="n">
        <v>0</v>
      </c>
      <c r="AC293" s="61" t="n">
        <v>0</v>
      </c>
      <c r="AD293" s="62" t="n">
        <v>0</v>
      </c>
      <c r="AE293" s="28" t="n">
        <v>291</v>
      </c>
      <c r="AF293" s="50"/>
    </row>
    <row r="294" customFormat="false" ht="14.15" hidden="false" customHeight="false" outlineLevel="0" collapsed="false">
      <c r="A294" s="58" t="s">
        <v>629</v>
      </c>
      <c r="B294" s="46" t="s">
        <v>630</v>
      </c>
      <c r="C294" s="43" t="s">
        <v>41</v>
      </c>
      <c r="D294" s="44" t="s">
        <v>620</v>
      </c>
      <c r="E294" s="42" t="s">
        <v>43</v>
      </c>
      <c r="F294" s="46" t="n">
        <v>5</v>
      </c>
      <c r="G294" s="46" t="n">
        <v>2</v>
      </c>
      <c r="H294" s="46" t="s">
        <v>44</v>
      </c>
      <c r="I294" s="56" t="str">
        <f aca="false">A294</f>
        <v>A1.030.036</v>
      </c>
      <c r="J294" s="44"/>
      <c r="K294" s="46"/>
      <c r="L294" s="46"/>
      <c r="M294" s="60" t="n">
        <v>1</v>
      </c>
      <c r="N294" s="61" t="n">
        <v>1</v>
      </c>
      <c r="O294" s="61"/>
      <c r="P294" s="61" t="n">
        <v>1</v>
      </c>
      <c r="Q294" s="61" t="n">
        <v>0</v>
      </c>
      <c r="R294" s="61" t="n">
        <v>1</v>
      </c>
      <c r="S294" s="61" t="n">
        <v>0</v>
      </c>
      <c r="T294" s="61" t="n">
        <v>0</v>
      </c>
      <c r="U294" s="61" t="n">
        <v>0</v>
      </c>
      <c r="V294" s="61" t="n">
        <v>1</v>
      </c>
      <c r="W294" s="61" t="n">
        <v>1</v>
      </c>
      <c r="X294" s="61" t="n">
        <v>0</v>
      </c>
      <c r="Y294" s="61" t="n">
        <v>0</v>
      </c>
      <c r="Z294" s="61" t="n">
        <v>0</v>
      </c>
      <c r="AA294" s="61" t="n">
        <v>1</v>
      </c>
      <c r="AB294" s="61" t="n">
        <v>0</v>
      </c>
      <c r="AC294" s="61" t="n">
        <v>0</v>
      </c>
      <c r="AD294" s="62" t="n">
        <v>0</v>
      </c>
      <c r="AE294" s="39" t="n">
        <v>292</v>
      </c>
      <c r="AF294" s="50"/>
    </row>
    <row r="295" customFormat="false" ht="14.15" hidden="false" customHeight="false" outlineLevel="0" collapsed="false">
      <c r="A295" s="58" t="s">
        <v>631</v>
      </c>
      <c r="B295" s="46" t="s">
        <v>632</v>
      </c>
      <c r="C295" s="43" t="s">
        <v>41</v>
      </c>
      <c r="D295" s="44" t="s">
        <v>620</v>
      </c>
      <c r="E295" s="42" t="s">
        <v>43</v>
      </c>
      <c r="F295" s="46" t="n">
        <v>5</v>
      </c>
      <c r="G295" s="42" t="n">
        <v>2</v>
      </c>
      <c r="H295" s="46" t="s">
        <v>44</v>
      </c>
      <c r="I295" s="56" t="str">
        <f aca="false">A295</f>
        <v>A1.030.037</v>
      </c>
      <c r="J295" s="44"/>
      <c r="K295" s="46"/>
      <c r="L295" s="46"/>
      <c r="M295" s="60" t="n">
        <v>1</v>
      </c>
      <c r="N295" s="61" t="n">
        <v>1</v>
      </c>
      <c r="O295" s="61"/>
      <c r="P295" s="61" t="n">
        <v>1</v>
      </c>
      <c r="Q295" s="61" t="n">
        <v>0</v>
      </c>
      <c r="R295" s="61" t="n">
        <v>1</v>
      </c>
      <c r="S295" s="61" t="n">
        <v>0</v>
      </c>
      <c r="T295" s="61" t="n">
        <v>0</v>
      </c>
      <c r="U295" s="61" t="n">
        <v>0</v>
      </c>
      <c r="V295" s="61" t="n">
        <v>1</v>
      </c>
      <c r="W295" s="61" t="n">
        <v>1</v>
      </c>
      <c r="X295" s="61" t="n">
        <v>0</v>
      </c>
      <c r="Y295" s="61" t="n">
        <v>0</v>
      </c>
      <c r="Z295" s="61" t="n">
        <v>0</v>
      </c>
      <c r="AA295" s="61" t="n">
        <v>1</v>
      </c>
      <c r="AB295" s="61" t="n">
        <v>0</v>
      </c>
      <c r="AC295" s="61" t="n">
        <v>0</v>
      </c>
      <c r="AD295" s="62" t="n">
        <v>0</v>
      </c>
      <c r="AE295" s="39" t="n">
        <v>293</v>
      </c>
      <c r="AF295" s="50"/>
    </row>
    <row r="296" customFormat="false" ht="14.15" hidden="false" customHeight="false" outlineLevel="0" collapsed="false">
      <c r="A296" s="58" t="s">
        <v>633</v>
      </c>
      <c r="B296" s="46" t="s">
        <v>634</v>
      </c>
      <c r="C296" s="43" t="s">
        <v>41</v>
      </c>
      <c r="D296" s="44" t="s">
        <v>620</v>
      </c>
      <c r="E296" s="42" t="s">
        <v>43</v>
      </c>
      <c r="F296" s="46" t="n">
        <v>5</v>
      </c>
      <c r="G296" s="46" t="n">
        <v>2</v>
      </c>
      <c r="H296" s="46" t="s">
        <v>44</v>
      </c>
      <c r="I296" s="56" t="str">
        <f aca="false">A296</f>
        <v>A1.030.040</v>
      </c>
      <c r="J296" s="44"/>
      <c r="K296" s="46"/>
      <c r="L296" s="46"/>
      <c r="M296" s="60" t="n">
        <v>1</v>
      </c>
      <c r="N296" s="61" t="n">
        <v>1</v>
      </c>
      <c r="O296" s="61"/>
      <c r="P296" s="61" t="n">
        <v>1</v>
      </c>
      <c r="Q296" s="61" t="n">
        <v>0</v>
      </c>
      <c r="R296" s="61" t="n">
        <v>1</v>
      </c>
      <c r="S296" s="61" t="n">
        <v>0</v>
      </c>
      <c r="T296" s="61" t="n">
        <v>0</v>
      </c>
      <c r="U296" s="61" t="n">
        <v>0</v>
      </c>
      <c r="V296" s="61" t="n">
        <v>1</v>
      </c>
      <c r="W296" s="61" t="n">
        <v>1</v>
      </c>
      <c r="X296" s="61" t="n">
        <v>0</v>
      </c>
      <c r="Y296" s="61" t="n">
        <v>0</v>
      </c>
      <c r="Z296" s="61" t="n">
        <v>0</v>
      </c>
      <c r="AA296" s="61" t="n">
        <v>1</v>
      </c>
      <c r="AB296" s="61" t="n">
        <v>0</v>
      </c>
      <c r="AC296" s="61" t="n">
        <v>0</v>
      </c>
      <c r="AD296" s="62" t="n">
        <v>0</v>
      </c>
      <c r="AE296" s="39" t="n">
        <v>294</v>
      </c>
      <c r="AF296" s="50"/>
    </row>
    <row r="297" customFormat="false" ht="14.15" hidden="false" customHeight="false" outlineLevel="0" collapsed="false">
      <c r="A297" s="58" t="s">
        <v>635</v>
      </c>
      <c r="B297" s="46" t="s">
        <v>636</v>
      </c>
      <c r="C297" s="43" t="s">
        <v>41</v>
      </c>
      <c r="D297" s="44" t="s">
        <v>620</v>
      </c>
      <c r="E297" s="42" t="s">
        <v>43</v>
      </c>
      <c r="F297" s="46" t="n">
        <v>5</v>
      </c>
      <c r="G297" s="42" t="n">
        <v>2</v>
      </c>
      <c r="H297" s="46" t="s">
        <v>44</v>
      </c>
      <c r="I297" s="56" t="str">
        <f aca="false">A297</f>
        <v>A1.030.041</v>
      </c>
      <c r="J297" s="44"/>
      <c r="K297" s="46"/>
      <c r="L297" s="46"/>
      <c r="M297" s="60" t="n">
        <v>1</v>
      </c>
      <c r="N297" s="61" t="n">
        <v>1</v>
      </c>
      <c r="O297" s="61"/>
      <c r="P297" s="61" t="n">
        <v>1</v>
      </c>
      <c r="Q297" s="61" t="n">
        <v>0</v>
      </c>
      <c r="R297" s="61" t="n">
        <v>1</v>
      </c>
      <c r="S297" s="61" t="n">
        <v>0</v>
      </c>
      <c r="T297" s="61" t="n">
        <v>0</v>
      </c>
      <c r="U297" s="61" t="n">
        <v>0</v>
      </c>
      <c r="V297" s="61" t="n">
        <v>1</v>
      </c>
      <c r="W297" s="61" t="n">
        <v>1</v>
      </c>
      <c r="X297" s="61" t="n">
        <v>0</v>
      </c>
      <c r="Y297" s="61" t="n">
        <v>0</v>
      </c>
      <c r="Z297" s="61" t="n">
        <v>0</v>
      </c>
      <c r="AA297" s="61" t="n">
        <v>1</v>
      </c>
      <c r="AB297" s="61" t="n">
        <v>0</v>
      </c>
      <c r="AC297" s="61" t="n">
        <v>0</v>
      </c>
      <c r="AD297" s="62" t="n">
        <v>0</v>
      </c>
      <c r="AE297" s="28" t="n">
        <v>295</v>
      </c>
      <c r="AF297" s="50"/>
    </row>
    <row r="298" customFormat="false" ht="14.15" hidden="false" customHeight="false" outlineLevel="0" collapsed="false">
      <c r="A298" s="58" t="s">
        <v>637</v>
      </c>
      <c r="B298" s="46" t="s">
        <v>638</v>
      </c>
      <c r="C298" s="43" t="s">
        <v>41</v>
      </c>
      <c r="D298" s="44" t="s">
        <v>620</v>
      </c>
      <c r="E298" s="42" t="s">
        <v>43</v>
      </c>
      <c r="F298" s="46" t="n">
        <v>5</v>
      </c>
      <c r="G298" s="46" t="n">
        <v>2</v>
      </c>
      <c r="H298" s="46" t="s">
        <v>44</v>
      </c>
      <c r="I298" s="56" t="str">
        <f aca="false">A298</f>
        <v>A1.030.042</v>
      </c>
      <c r="J298" s="44"/>
      <c r="K298" s="46"/>
      <c r="L298" s="46"/>
      <c r="M298" s="60" t="n">
        <v>1</v>
      </c>
      <c r="N298" s="61" t="n">
        <v>1</v>
      </c>
      <c r="O298" s="61"/>
      <c r="P298" s="61" t="n">
        <v>1</v>
      </c>
      <c r="Q298" s="61" t="n">
        <v>0</v>
      </c>
      <c r="R298" s="61" t="n">
        <v>1</v>
      </c>
      <c r="S298" s="61" t="n">
        <v>0</v>
      </c>
      <c r="T298" s="61" t="n">
        <v>0</v>
      </c>
      <c r="U298" s="61" t="n">
        <v>0</v>
      </c>
      <c r="V298" s="61" t="n">
        <v>1</v>
      </c>
      <c r="W298" s="61" t="n">
        <v>1</v>
      </c>
      <c r="X298" s="61" t="n">
        <v>0</v>
      </c>
      <c r="Y298" s="61" t="n">
        <v>0</v>
      </c>
      <c r="Z298" s="61" t="n">
        <v>0</v>
      </c>
      <c r="AA298" s="61" t="n">
        <v>1</v>
      </c>
      <c r="AB298" s="61" t="n">
        <v>0</v>
      </c>
      <c r="AC298" s="61" t="n">
        <v>0</v>
      </c>
      <c r="AD298" s="62" t="n">
        <v>0</v>
      </c>
      <c r="AE298" s="28" t="n">
        <v>296</v>
      </c>
      <c r="AF298" s="50"/>
    </row>
    <row r="299" customFormat="false" ht="14.15" hidden="false" customHeight="false" outlineLevel="0" collapsed="false">
      <c r="A299" s="58" t="s">
        <v>639</v>
      </c>
      <c r="B299" s="46" t="s">
        <v>640</v>
      </c>
      <c r="C299" s="43" t="s">
        <v>41</v>
      </c>
      <c r="D299" s="44" t="s">
        <v>620</v>
      </c>
      <c r="E299" s="42" t="s">
        <v>43</v>
      </c>
      <c r="F299" s="46" t="n">
        <v>6</v>
      </c>
      <c r="G299" s="42" t="n">
        <v>2</v>
      </c>
      <c r="H299" s="46" t="s">
        <v>44</v>
      </c>
      <c r="I299" s="56" t="str">
        <f aca="false">A299</f>
        <v>A1.030.043</v>
      </c>
      <c r="J299" s="44"/>
      <c r="K299" s="46"/>
      <c r="L299" s="46"/>
      <c r="M299" s="60" t="n">
        <v>1</v>
      </c>
      <c r="N299" s="61" t="n">
        <v>1</v>
      </c>
      <c r="O299" s="61"/>
      <c r="P299" s="61" t="n">
        <v>1</v>
      </c>
      <c r="Q299" s="61" t="n">
        <v>0</v>
      </c>
      <c r="R299" s="61" t="n">
        <v>1</v>
      </c>
      <c r="S299" s="61" t="n">
        <v>0</v>
      </c>
      <c r="T299" s="61" t="n">
        <v>0</v>
      </c>
      <c r="U299" s="61" t="n">
        <v>0</v>
      </c>
      <c r="V299" s="61" t="n">
        <v>1</v>
      </c>
      <c r="W299" s="61" t="n">
        <v>1</v>
      </c>
      <c r="X299" s="61" t="n">
        <v>0</v>
      </c>
      <c r="Y299" s="61" t="n">
        <v>0</v>
      </c>
      <c r="Z299" s="61" t="n">
        <v>0</v>
      </c>
      <c r="AA299" s="61" t="n">
        <v>1</v>
      </c>
      <c r="AB299" s="61" t="n">
        <v>0</v>
      </c>
      <c r="AC299" s="61" t="n">
        <v>0</v>
      </c>
      <c r="AD299" s="62" t="n">
        <v>0</v>
      </c>
      <c r="AE299" s="39" t="n">
        <v>297</v>
      </c>
      <c r="AF299" s="50"/>
    </row>
    <row r="300" customFormat="false" ht="14.15" hidden="false" customHeight="false" outlineLevel="0" collapsed="false">
      <c r="A300" s="58" t="s">
        <v>641</v>
      </c>
      <c r="B300" s="46" t="s">
        <v>642</v>
      </c>
      <c r="C300" s="43" t="s">
        <v>41</v>
      </c>
      <c r="D300" s="44" t="s">
        <v>620</v>
      </c>
      <c r="E300" s="42" t="s">
        <v>43</v>
      </c>
      <c r="F300" s="46" t="n">
        <v>6</v>
      </c>
      <c r="G300" s="46" t="n">
        <v>2</v>
      </c>
      <c r="H300" s="46" t="s">
        <v>44</v>
      </c>
      <c r="I300" s="56" t="str">
        <f aca="false">A300</f>
        <v>A1.030.044</v>
      </c>
      <c r="J300" s="44"/>
      <c r="K300" s="46"/>
      <c r="L300" s="46"/>
      <c r="M300" s="60" t="n">
        <v>1</v>
      </c>
      <c r="N300" s="61" t="n">
        <v>1</v>
      </c>
      <c r="O300" s="61"/>
      <c r="P300" s="61" t="n">
        <v>1</v>
      </c>
      <c r="Q300" s="61" t="n">
        <v>0</v>
      </c>
      <c r="R300" s="61" t="n">
        <v>1</v>
      </c>
      <c r="S300" s="61" t="n">
        <v>0</v>
      </c>
      <c r="T300" s="61" t="n">
        <v>0</v>
      </c>
      <c r="U300" s="61" t="n">
        <v>0</v>
      </c>
      <c r="V300" s="61" t="n">
        <v>1</v>
      </c>
      <c r="W300" s="61" t="n">
        <v>1</v>
      </c>
      <c r="X300" s="61" t="n">
        <v>0</v>
      </c>
      <c r="Y300" s="61" t="n">
        <v>0</v>
      </c>
      <c r="Z300" s="61" t="n">
        <v>0</v>
      </c>
      <c r="AA300" s="61" t="n">
        <v>1</v>
      </c>
      <c r="AB300" s="61" t="n">
        <v>0</v>
      </c>
      <c r="AC300" s="61" t="n">
        <v>0</v>
      </c>
      <c r="AD300" s="62" t="n">
        <v>0</v>
      </c>
      <c r="AE300" s="39" t="n">
        <v>298</v>
      </c>
      <c r="AF300" s="50"/>
    </row>
    <row r="301" customFormat="false" ht="14.15" hidden="false" customHeight="false" outlineLevel="0" collapsed="false">
      <c r="A301" s="58" t="s">
        <v>643</v>
      </c>
      <c r="B301" s="46" t="s">
        <v>644</v>
      </c>
      <c r="C301" s="43" t="s">
        <v>41</v>
      </c>
      <c r="D301" s="44" t="s">
        <v>620</v>
      </c>
      <c r="E301" s="42" t="s">
        <v>43</v>
      </c>
      <c r="F301" s="46" t="n">
        <v>6</v>
      </c>
      <c r="G301" s="42" t="n">
        <v>2</v>
      </c>
      <c r="H301" s="46" t="s">
        <v>44</v>
      </c>
      <c r="I301" s="56" t="str">
        <f aca="false">A301</f>
        <v>A1.030.045</v>
      </c>
      <c r="J301" s="44"/>
      <c r="K301" s="46"/>
      <c r="L301" s="46"/>
      <c r="M301" s="60" t="n">
        <v>1</v>
      </c>
      <c r="N301" s="61" t="n">
        <v>1</v>
      </c>
      <c r="O301" s="61"/>
      <c r="P301" s="61" t="n">
        <v>1</v>
      </c>
      <c r="Q301" s="61" t="n">
        <v>0</v>
      </c>
      <c r="R301" s="61" t="n">
        <v>1</v>
      </c>
      <c r="S301" s="61" t="n">
        <v>0</v>
      </c>
      <c r="T301" s="61" t="n">
        <v>0</v>
      </c>
      <c r="U301" s="61" t="n">
        <v>0</v>
      </c>
      <c r="V301" s="61" t="n">
        <v>1</v>
      </c>
      <c r="W301" s="61" t="n">
        <v>1</v>
      </c>
      <c r="X301" s="61" t="n">
        <v>0</v>
      </c>
      <c r="Y301" s="61" t="n">
        <v>0</v>
      </c>
      <c r="Z301" s="61" t="n">
        <v>0</v>
      </c>
      <c r="AA301" s="61" t="n">
        <v>1</v>
      </c>
      <c r="AB301" s="61" t="n">
        <v>0</v>
      </c>
      <c r="AC301" s="61" t="n">
        <v>0</v>
      </c>
      <c r="AD301" s="62" t="n">
        <v>0</v>
      </c>
      <c r="AE301" s="39" t="n">
        <v>299</v>
      </c>
      <c r="AF301" s="50"/>
    </row>
    <row r="302" s="87" customFormat="true" ht="15" hidden="false" customHeight="true" outlineLevel="0" collapsed="false">
      <c r="A302" s="79" t="s">
        <v>645</v>
      </c>
      <c r="B302" s="75" t="s">
        <v>646</v>
      </c>
      <c r="C302" s="80" t="s">
        <v>41</v>
      </c>
      <c r="D302" s="81" t="s">
        <v>620</v>
      </c>
      <c r="E302" s="82" t="s">
        <v>57</v>
      </c>
      <c r="F302" s="75" t="n">
        <v>4</v>
      </c>
      <c r="G302" s="82" t="n">
        <v>2</v>
      </c>
      <c r="H302" s="46" t="s">
        <v>58</v>
      </c>
      <c r="I302" s="83" t="str">
        <f aca="false">A302</f>
        <v>A2.030.001</v>
      </c>
      <c r="J302" s="81"/>
      <c r="K302" s="75"/>
      <c r="L302" s="75"/>
      <c r="M302" s="84" t="n">
        <v>1</v>
      </c>
      <c r="N302" s="74" t="n">
        <v>1</v>
      </c>
      <c r="O302" s="74"/>
      <c r="P302" s="74" t="n">
        <v>1</v>
      </c>
      <c r="Q302" s="74" t="n">
        <v>0</v>
      </c>
      <c r="R302" s="74" t="n">
        <v>1</v>
      </c>
      <c r="S302" s="74" t="n">
        <v>0</v>
      </c>
      <c r="T302" s="74" t="n">
        <v>0</v>
      </c>
      <c r="U302" s="74" t="n">
        <v>0</v>
      </c>
      <c r="V302" s="74" t="n">
        <v>1</v>
      </c>
      <c r="W302" s="74" t="n">
        <v>1</v>
      </c>
      <c r="X302" s="74" t="n">
        <v>0</v>
      </c>
      <c r="Y302" s="74" t="n">
        <v>0</v>
      </c>
      <c r="Z302" s="74" t="n">
        <v>0</v>
      </c>
      <c r="AA302" s="74" t="n">
        <v>1</v>
      </c>
      <c r="AB302" s="74" t="n">
        <v>0</v>
      </c>
      <c r="AC302" s="74" t="n">
        <v>0</v>
      </c>
      <c r="AD302" s="85" t="n">
        <v>0</v>
      </c>
      <c r="AE302" s="75" t="n">
        <v>300</v>
      </c>
      <c r="AF302" s="86" t="s">
        <v>647</v>
      </c>
    </row>
    <row r="303" customFormat="false" ht="14.15" hidden="false" customHeight="false" outlineLevel="0" collapsed="false">
      <c r="A303" s="58" t="s">
        <v>648</v>
      </c>
      <c r="B303" s="46" t="s">
        <v>649</v>
      </c>
      <c r="C303" s="43" t="s">
        <v>41</v>
      </c>
      <c r="D303" s="44" t="s">
        <v>620</v>
      </c>
      <c r="E303" s="46" t="s">
        <v>57</v>
      </c>
      <c r="F303" s="46" t="n">
        <v>6</v>
      </c>
      <c r="G303" s="46" t="n">
        <v>2</v>
      </c>
      <c r="H303" s="46" t="s">
        <v>58</v>
      </c>
      <c r="I303" s="56" t="str">
        <f aca="false">A303</f>
        <v>A2.030.027</v>
      </c>
      <c r="J303" s="44"/>
      <c r="K303" s="46"/>
      <c r="L303" s="46"/>
      <c r="M303" s="60" t="n">
        <v>1</v>
      </c>
      <c r="N303" s="61" t="n">
        <v>1</v>
      </c>
      <c r="O303" s="61"/>
      <c r="P303" s="61" t="n">
        <v>1</v>
      </c>
      <c r="Q303" s="61" t="n">
        <v>0</v>
      </c>
      <c r="R303" s="61" t="n">
        <v>1</v>
      </c>
      <c r="S303" s="61" t="n">
        <v>0</v>
      </c>
      <c r="T303" s="61" t="n">
        <v>0</v>
      </c>
      <c r="U303" s="61" t="n">
        <v>0</v>
      </c>
      <c r="V303" s="61" t="n">
        <v>1</v>
      </c>
      <c r="W303" s="61" t="n">
        <v>1</v>
      </c>
      <c r="X303" s="61" t="n">
        <v>0</v>
      </c>
      <c r="Y303" s="61" t="n">
        <v>0</v>
      </c>
      <c r="Z303" s="61" t="n">
        <v>0</v>
      </c>
      <c r="AA303" s="61" t="n">
        <v>1</v>
      </c>
      <c r="AB303" s="61" t="n">
        <v>0</v>
      </c>
      <c r="AC303" s="61" t="n">
        <v>0</v>
      </c>
      <c r="AD303" s="62" t="n">
        <v>0</v>
      </c>
      <c r="AE303" s="28" t="n">
        <v>301</v>
      </c>
      <c r="AF303" s="50"/>
    </row>
    <row r="304" customFormat="false" ht="14.15" hidden="false" customHeight="false" outlineLevel="0" collapsed="false">
      <c r="A304" s="58" t="s">
        <v>650</v>
      </c>
      <c r="B304" s="46" t="s">
        <v>651</v>
      </c>
      <c r="C304" s="43" t="s">
        <v>41</v>
      </c>
      <c r="D304" s="44" t="s">
        <v>620</v>
      </c>
      <c r="E304" s="46" t="s">
        <v>57</v>
      </c>
      <c r="F304" s="46" t="n">
        <v>6</v>
      </c>
      <c r="G304" s="42" t="n">
        <v>2</v>
      </c>
      <c r="H304" s="46" t="s">
        <v>58</v>
      </c>
      <c r="I304" s="56" t="str">
        <f aca="false">A304</f>
        <v>A2.030.028</v>
      </c>
      <c r="J304" s="44"/>
      <c r="K304" s="46"/>
      <c r="L304" s="46"/>
      <c r="M304" s="60" t="n">
        <v>1</v>
      </c>
      <c r="N304" s="61" t="n">
        <v>1</v>
      </c>
      <c r="O304" s="61"/>
      <c r="P304" s="61" t="n">
        <v>1</v>
      </c>
      <c r="Q304" s="61" t="n">
        <v>0</v>
      </c>
      <c r="R304" s="61" t="n">
        <v>1</v>
      </c>
      <c r="S304" s="61" t="n">
        <v>0</v>
      </c>
      <c r="T304" s="61" t="n">
        <v>0</v>
      </c>
      <c r="U304" s="61" t="n">
        <v>0</v>
      </c>
      <c r="V304" s="61" t="n">
        <v>1</v>
      </c>
      <c r="W304" s="61" t="n">
        <v>1</v>
      </c>
      <c r="X304" s="61" t="n">
        <v>0</v>
      </c>
      <c r="Y304" s="61" t="n">
        <v>0</v>
      </c>
      <c r="Z304" s="61" t="n">
        <v>0</v>
      </c>
      <c r="AA304" s="61" t="n">
        <v>1</v>
      </c>
      <c r="AB304" s="61" t="n">
        <v>0</v>
      </c>
      <c r="AC304" s="61" t="n">
        <v>0</v>
      </c>
      <c r="AD304" s="62" t="n">
        <v>0</v>
      </c>
      <c r="AE304" s="39" t="n">
        <v>302</v>
      </c>
      <c r="AF304" s="50"/>
    </row>
    <row r="305" customFormat="false" ht="14.15" hidden="false" customHeight="false" outlineLevel="0" collapsed="false">
      <c r="A305" s="58"/>
      <c r="B305" s="46"/>
      <c r="C305" s="43"/>
      <c r="D305" s="44"/>
      <c r="E305" s="46"/>
      <c r="F305" s="46"/>
      <c r="G305" s="46"/>
      <c r="H305" s="46"/>
      <c r="I305" s="56"/>
      <c r="J305" s="44"/>
      <c r="K305" s="46"/>
      <c r="L305" s="46"/>
      <c r="M305" s="60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2"/>
      <c r="AE305" s="39"/>
      <c r="AF305" s="50"/>
    </row>
    <row r="306" customFormat="false" ht="14.15" hidden="false" customHeight="false" outlineLevel="0" collapsed="false">
      <c r="A306" s="58"/>
      <c r="B306" s="46"/>
      <c r="C306" s="43"/>
      <c r="D306" s="44"/>
      <c r="E306" s="46"/>
      <c r="F306" s="46"/>
      <c r="G306" s="42"/>
      <c r="H306" s="46"/>
      <c r="I306" s="56"/>
      <c r="J306" s="44"/>
      <c r="K306" s="46"/>
      <c r="L306" s="46"/>
      <c r="M306" s="60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2"/>
      <c r="AE306" s="39"/>
      <c r="AF306" s="50"/>
    </row>
    <row r="307" customFormat="false" ht="14.15" hidden="false" customHeight="false" outlineLevel="0" collapsed="false">
      <c r="A307" s="58"/>
      <c r="B307" s="46"/>
      <c r="C307" s="43"/>
      <c r="D307" s="44"/>
      <c r="E307" s="46"/>
      <c r="F307" s="46"/>
      <c r="G307" s="46"/>
      <c r="H307" s="46"/>
      <c r="I307" s="56"/>
      <c r="J307" s="44"/>
      <c r="K307" s="46"/>
      <c r="L307" s="46"/>
      <c r="M307" s="60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2"/>
      <c r="AE307" s="28"/>
      <c r="AF307" s="50"/>
    </row>
    <row r="308" customFormat="false" ht="15" hidden="false" customHeight="true" outlineLevel="0" collapsed="false">
      <c r="A308" s="58"/>
      <c r="B308" s="46"/>
      <c r="C308" s="43"/>
      <c r="D308" s="44"/>
      <c r="E308" s="46"/>
      <c r="F308" s="46"/>
      <c r="G308" s="42"/>
      <c r="H308" s="46"/>
      <c r="I308" s="56"/>
      <c r="J308" s="44"/>
      <c r="K308" s="46"/>
      <c r="L308" s="46"/>
      <c r="M308" s="60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2"/>
      <c r="AE308" s="28"/>
      <c r="AF308" s="50"/>
    </row>
    <row r="309" customFormat="false" ht="14.15" hidden="false" customHeight="false" outlineLevel="0" collapsed="false">
      <c r="A309" s="58" t="s">
        <v>652</v>
      </c>
      <c r="B309" s="46" t="s">
        <v>653</v>
      </c>
      <c r="C309" s="43" t="s">
        <v>41</v>
      </c>
      <c r="D309" s="44" t="s">
        <v>620</v>
      </c>
      <c r="E309" s="46" t="s">
        <v>57</v>
      </c>
      <c r="F309" s="46" t="n">
        <v>5</v>
      </c>
      <c r="G309" s="46" t="n">
        <v>2</v>
      </c>
      <c r="H309" s="46" t="s">
        <v>58</v>
      </c>
      <c r="I309" s="56" t="str">
        <f aca="false">A309</f>
        <v>A2.030.034</v>
      </c>
      <c r="J309" s="44"/>
      <c r="K309" s="46"/>
      <c r="L309" s="46"/>
      <c r="M309" s="60" t="n">
        <v>1</v>
      </c>
      <c r="N309" s="61" t="n">
        <v>1</v>
      </c>
      <c r="O309" s="61"/>
      <c r="P309" s="61" t="n">
        <v>1</v>
      </c>
      <c r="Q309" s="61" t="n">
        <v>0</v>
      </c>
      <c r="R309" s="61" t="n">
        <v>1</v>
      </c>
      <c r="S309" s="61" t="n">
        <v>0</v>
      </c>
      <c r="T309" s="61" t="n">
        <v>0</v>
      </c>
      <c r="U309" s="61" t="n">
        <v>0</v>
      </c>
      <c r="V309" s="61" t="n">
        <v>1</v>
      </c>
      <c r="W309" s="61" t="n">
        <v>1</v>
      </c>
      <c r="X309" s="61" t="n">
        <v>0</v>
      </c>
      <c r="Y309" s="61" t="n">
        <v>0</v>
      </c>
      <c r="Z309" s="61" t="n">
        <v>0</v>
      </c>
      <c r="AA309" s="61" t="n">
        <v>1</v>
      </c>
      <c r="AB309" s="61" t="n">
        <v>0</v>
      </c>
      <c r="AC309" s="61" t="n">
        <v>0</v>
      </c>
      <c r="AD309" s="62" t="n">
        <v>0</v>
      </c>
      <c r="AE309" s="39" t="n">
        <v>307</v>
      </c>
      <c r="AF309" s="50"/>
    </row>
    <row r="310" customFormat="false" ht="14.15" hidden="false" customHeight="false" outlineLevel="0" collapsed="false">
      <c r="A310" s="58" t="s">
        <v>654</v>
      </c>
      <c r="B310" s="46" t="s">
        <v>655</v>
      </c>
      <c r="C310" s="43" t="s">
        <v>41</v>
      </c>
      <c r="D310" s="44" t="s">
        <v>620</v>
      </c>
      <c r="E310" s="46" t="s">
        <v>57</v>
      </c>
      <c r="F310" s="46" t="n">
        <v>5</v>
      </c>
      <c r="G310" s="42" t="n">
        <v>2</v>
      </c>
      <c r="H310" s="46" t="s">
        <v>58</v>
      </c>
      <c r="I310" s="56" t="str">
        <f aca="false">A310</f>
        <v>A2.030.038</v>
      </c>
      <c r="J310" s="44"/>
      <c r="K310" s="46"/>
      <c r="L310" s="46"/>
      <c r="M310" s="60" t="n">
        <v>1</v>
      </c>
      <c r="N310" s="61" t="n">
        <v>1</v>
      </c>
      <c r="O310" s="61"/>
      <c r="P310" s="61" t="n">
        <v>1</v>
      </c>
      <c r="Q310" s="61" t="n">
        <v>0</v>
      </c>
      <c r="R310" s="61" t="n">
        <v>1</v>
      </c>
      <c r="S310" s="61" t="n">
        <v>0</v>
      </c>
      <c r="T310" s="61" t="n">
        <v>0</v>
      </c>
      <c r="U310" s="61" t="n">
        <v>0</v>
      </c>
      <c r="V310" s="61" t="n">
        <v>1</v>
      </c>
      <c r="W310" s="61" t="n">
        <v>1</v>
      </c>
      <c r="X310" s="61" t="n">
        <v>0</v>
      </c>
      <c r="Y310" s="61" t="n">
        <v>0</v>
      </c>
      <c r="Z310" s="61" t="n">
        <v>0</v>
      </c>
      <c r="AA310" s="61" t="n">
        <v>1</v>
      </c>
      <c r="AB310" s="61" t="n">
        <v>0</v>
      </c>
      <c r="AC310" s="61" t="n">
        <v>0</v>
      </c>
      <c r="AD310" s="62" t="n">
        <v>0</v>
      </c>
      <c r="AE310" s="39" t="n">
        <v>308</v>
      </c>
      <c r="AF310" s="50"/>
    </row>
    <row r="311" customFormat="false" ht="15" hidden="false" customHeight="true" outlineLevel="0" collapsed="false">
      <c r="A311" s="58" t="s">
        <v>656</v>
      </c>
      <c r="B311" s="46" t="s">
        <v>657</v>
      </c>
      <c r="C311" s="43" t="s">
        <v>41</v>
      </c>
      <c r="D311" s="44" t="s">
        <v>620</v>
      </c>
      <c r="E311" s="46" t="s">
        <v>57</v>
      </c>
      <c r="F311" s="46" t="n">
        <v>5</v>
      </c>
      <c r="G311" s="46" t="n">
        <v>2</v>
      </c>
      <c r="H311" s="46" t="s">
        <v>58</v>
      </c>
      <c r="I311" s="56" t="str">
        <f aca="false">A311</f>
        <v>A2.030.039</v>
      </c>
      <c r="J311" s="44"/>
      <c r="K311" s="46"/>
      <c r="L311" s="46"/>
      <c r="M311" s="60" t="n">
        <v>1</v>
      </c>
      <c r="N311" s="61" t="n">
        <v>1</v>
      </c>
      <c r="O311" s="61"/>
      <c r="P311" s="61" t="n">
        <v>1</v>
      </c>
      <c r="Q311" s="61" t="n">
        <v>0</v>
      </c>
      <c r="R311" s="61" t="n">
        <v>1</v>
      </c>
      <c r="S311" s="61" t="n">
        <v>0</v>
      </c>
      <c r="T311" s="61" t="n">
        <v>0</v>
      </c>
      <c r="U311" s="61" t="n">
        <v>0</v>
      </c>
      <c r="V311" s="61" t="n">
        <v>1</v>
      </c>
      <c r="W311" s="61" t="n">
        <v>1</v>
      </c>
      <c r="X311" s="61" t="n">
        <v>0</v>
      </c>
      <c r="Y311" s="61" t="n">
        <v>0</v>
      </c>
      <c r="Z311" s="61" t="n">
        <v>0</v>
      </c>
      <c r="AA311" s="61" t="n">
        <v>1</v>
      </c>
      <c r="AB311" s="61" t="n">
        <v>0</v>
      </c>
      <c r="AC311" s="61" t="n">
        <v>0</v>
      </c>
      <c r="AD311" s="62" t="n">
        <v>0</v>
      </c>
      <c r="AE311" s="39" t="n">
        <v>309</v>
      </c>
      <c r="AF311" s="50"/>
    </row>
    <row r="312" customFormat="false" ht="14.15" hidden="false" customHeight="false" outlineLevel="0" collapsed="false">
      <c r="A312" s="58" t="s">
        <v>658</v>
      </c>
      <c r="B312" s="46" t="s">
        <v>659</v>
      </c>
      <c r="C312" s="43" t="s">
        <v>41</v>
      </c>
      <c r="D312" s="44" t="s">
        <v>620</v>
      </c>
      <c r="E312" s="46" t="s">
        <v>57</v>
      </c>
      <c r="F312" s="46" t="n">
        <v>5</v>
      </c>
      <c r="G312" s="42" t="n">
        <v>2</v>
      </c>
      <c r="H312" s="46" t="s">
        <v>58</v>
      </c>
      <c r="I312" s="56" t="str">
        <f aca="false">A312</f>
        <v>A2.030.040</v>
      </c>
      <c r="J312" s="44"/>
      <c r="K312" s="46"/>
      <c r="L312" s="46"/>
      <c r="M312" s="60" t="n">
        <v>1</v>
      </c>
      <c r="N312" s="61" t="n">
        <v>1</v>
      </c>
      <c r="O312" s="61"/>
      <c r="P312" s="61" t="n">
        <v>1</v>
      </c>
      <c r="Q312" s="61" t="n">
        <v>0</v>
      </c>
      <c r="R312" s="61" t="n">
        <v>1</v>
      </c>
      <c r="S312" s="61" t="n">
        <v>0</v>
      </c>
      <c r="T312" s="61" t="n">
        <v>0</v>
      </c>
      <c r="U312" s="61" t="n">
        <v>0</v>
      </c>
      <c r="V312" s="61" t="n">
        <v>1</v>
      </c>
      <c r="W312" s="61" t="n">
        <v>1</v>
      </c>
      <c r="X312" s="61" t="n">
        <v>0</v>
      </c>
      <c r="Y312" s="61" t="n">
        <v>0</v>
      </c>
      <c r="Z312" s="61" t="n">
        <v>0</v>
      </c>
      <c r="AA312" s="61" t="n">
        <v>1</v>
      </c>
      <c r="AB312" s="61" t="n">
        <v>0</v>
      </c>
      <c r="AC312" s="61" t="n">
        <v>0</v>
      </c>
      <c r="AD312" s="62" t="n">
        <v>0</v>
      </c>
      <c r="AE312" s="28" t="n">
        <v>310</v>
      </c>
      <c r="AF312" s="50"/>
    </row>
    <row r="313" customFormat="false" ht="14.15" hidden="false" customHeight="false" outlineLevel="0" collapsed="false">
      <c r="A313" s="30" t="s">
        <v>660</v>
      </c>
      <c r="B313" s="31"/>
      <c r="C313" s="32"/>
      <c r="D313" s="33"/>
      <c r="E313" s="31"/>
      <c r="F313" s="31"/>
      <c r="G313" s="31"/>
      <c r="H313" s="35"/>
      <c r="I313" s="35"/>
      <c r="J313" s="33"/>
      <c r="K313" s="35"/>
      <c r="L313" s="35"/>
      <c r="M313" s="36" t="n">
        <f aca="false">SUM(M314)</f>
        <v>1</v>
      </c>
      <c r="N313" s="37" t="n">
        <f aca="false">SUM(N314)</f>
        <v>1</v>
      </c>
      <c r="O313" s="37"/>
      <c r="P313" s="37" t="n">
        <f aca="false">SUM(P314)</f>
        <v>1</v>
      </c>
      <c r="Q313" s="65" t="n">
        <f aca="false">SUM(Q314)</f>
        <v>0</v>
      </c>
      <c r="R313" s="37" t="n">
        <f aca="false">SUM(R314)</f>
        <v>0</v>
      </c>
      <c r="S313" s="37" t="n">
        <f aca="false">SUM(S314)</f>
        <v>0</v>
      </c>
      <c r="T313" s="37" t="n">
        <f aca="false">SUM(T314)</f>
        <v>1</v>
      </c>
      <c r="U313" s="37" t="n">
        <f aca="false">SUM(U314)</f>
        <v>1</v>
      </c>
      <c r="V313" s="37" t="n">
        <f aca="false">SUM(V314)</f>
        <v>0</v>
      </c>
      <c r="W313" s="37" t="n">
        <f aca="false">SUM(W314)</f>
        <v>0</v>
      </c>
      <c r="X313" s="37" t="n">
        <f aca="false">SUM(X314)</f>
        <v>1</v>
      </c>
      <c r="Y313" s="37" t="n">
        <f aca="false">SUM(Y314)</f>
        <v>0</v>
      </c>
      <c r="Z313" s="37" t="n">
        <f aca="false">SUM(Z314)</f>
        <v>1</v>
      </c>
      <c r="AA313" s="37" t="n">
        <f aca="false">SUM(AA314)</f>
        <v>1</v>
      </c>
      <c r="AB313" s="37" t="n">
        <f aca="false">SUM(AB314)</f>
        <v>0</v>
      </c>
      <c r="AC313" s="37" t="n">
        <f aca="false">SUM(AC314)</f>
        <v>0</v>
      </c>
      <c r="AD313" s="38" t="n">
        <f aca="false">SUM(AD314)</f>
        <v>0</v>
      </c>
      <c r="AE313" s="28" t="n">
        <v>311</v>
      </c>
      <c r="AF313" s="50"/>
    </row>
    <row r="314" customFormat="false" ht="14.15" hidden="false" customHeight="false" outlineLevel="0" collapsed="false">
      <c r="A314" s="41" t="s">
        <v>661</v>
      </c>
      <c r="B314" s="42" t="s">
        <v>662</v>
      </c>
      <c r="C314" s="43" t="s">
        <v>611</v>
      </c>
      <c r="D314" s="44" t="s">
        <v>663</v>
      </c>
      <c r="E314" s="42" t="s">
        <v>43</v>
      </c>
      <c r="F314" s="42" t="n">
        <v>1</v>
      </c>
      <c r="G314" s="42" t="n">
        <v>1</v>
      </c>
      <c r="H314" s="46" t="s">
        <v>184</v>
      </c>
      <c r="I314" s="56" t="str">
        <f aca="false">A314</f>
        <v>A1.020.052</v>
      </c>
      <c r="J314" s="44"/>
      <c r="K314" s="46"/>
      <c r="L314" s="46"/>
      <c r="M314" s="47" t="n">
        <v>1</v>
      </c>
      <c r="N314" s="48" t="n">
        <v>1</v>
      </c>
      <c r="O314" s="48"/>
      <c r="P314" s="48" t="n">
        <v>1</v>
      </c>
      <c r="Q314" s="48" t="n">
        <v>0</v>
      </c>
      <c r="R314" s="48" t="n">
        <v>0</v>
      </c>
      <c r="S314" s="48" t="n">
        <v>0</v>
      </c>
      <c r="T314" s="48" t="n">
        <v>1</v>
      </c>
      <c r="U314" s="48" t="n">
        <v>1</v>
      </c>
      <c r="V314" s="48" t="n">
        <v>0</v>
      </c>
      <c r="W314" s="48" t="n">
        <v>0</v>
      </c>
      <c r="X314" s="48" t="n">
        <v>1</v>
      </c>
      <c r="Y314" s="48" t="n">
        <v>0</v>
      </c>
      <c r="Z314" s="48" t="n">
        <v>1</v>
      </c>
      <c r="AA314" s="48" t="n">
        <v>1</v>
      </c>
      <c r="AB314" s="48" t="n">
        <v>0</v>
      </c>
      <c r="AC314" s="48" t="n">
        <v>0</v>
      </c>
      <c r="AD314" s="49" t="n">
        <v>0</v>
      </c>
      <c r="AE314" s="39" t="n">
        <v>312</v>
      </c>
      <c r="AF314" s="50"/>
    </row>
    <row r="315" customFormat="false" ht="15.75" hidden="false" customHeight="true" outlineLevel="0" collapsed="false">
      <c r="A315" s="30" t="s">
        <v>664</v>
      </c>
      <c r="B315" s="31"/>
      <c r="C315" s="32"/>
      <c r="D315" s="33"/>
      <c r="E315" s="31"/>
      <c r="F315" s="31"/>
      <c r="G315" s="31"/>
      <c r="H315" s="35"/>
      <c r="I315" s="35"/>
      <c r="J315" s="33"/>
      <c r="K315" s="35"/>
      <c r="L315" s="35"/>
      <c r="M315" s="36" t="n">
        <f aca="false">SUM(M316:M326)</f>
        <v>10</v>
      </c>
      <c r="N315" s="37" t="n">
        <f aca="false">SUM(N316:N326)</f>
        <v>10</v>
      </c>
      <c r="O315" s="37"/>
      <c r="P315" s="37" t="n">
        <f aca="false">SUM(P316:P326)</f>
        <v>10</v>
      </c>
      <c r="Q315" s="88" t="n">
        <f aca="false">SUM(Q316:Q326)</f>
        <v>0</v>
      </c>
      <c r="R315" s="37" t="n">
        <f aca="false">SUM(R316:R326)</f>
        <v>26</v>
      </c>
      <c r="S315" s="37" t="n">
        <f aca="false">SUM(S316:S326)</f>
        <v>0</v>
      </c>
      <c r="T315" s="37" t="n">
        <f aca="false">SUM(T316:T326)</f>
        <v>10</v>
      </c>
      <c r="U315" s="37" t="n">
        <f aca="false">SUM(U316:U326)</f>
        <v>10</v>
      </c>
      <c r="V315" s="37" t="n">
        <f aca="false">SUM(V316:V326)</f>
        <v>0</v>
      </c>
      <c r="W315" s="37" t="n">
        <f aca="false">SUM(W316:W326)</f>
        <v>0</v>
      </c>
      <c r="X315" s="37" t="n">
        <f aca="false">SUM(X316:X326)</f>
        <v>42</v>
      </c>
      <c r="Y315" s="37" t="n">
        <f aca="false">SUM(Y316:Y326)</f>
        <v>0</v>
      </c>
      <c r="Z315" s="37" t="n">
        <f aca="false">SUM(Z316:Z326)</f>
        <v>0</v>
      </c>
      <c r="AA315" s="37" t="n">
        <f aca="false">SUM(AA316:AA326)</f>
        <v>34</v>
      </c>
      <c r="AB315" s="37" t="n">
        <f aca="false">SUM(AB316:AB326)</f>
        <v>0</v>
      </c>
      <c r="AC315" s="37" t="n">
        <f aca="false">SUM(AC316:AC326)</f>
        <v>0</v>
      </c>
      <c r="AD315" s="38" t="n">
        <f aca="false">SUM(AD316:AD326)</f>
        <v>0</v>
      </c>
      <c r="AE315" s="39" t="n">
        <v>313</v>
      </c>
      <c r="AF315" s="50"/>
    </row>
    <row r="316" customFormat="false" ht="14.15" hidden="false" customHeight="false" outlineLevel="0" collapsed="false">
      <c r="A316" s="41" t="s">
        <v>665</v>
      </c>
      <c r="B316" s="42" t="s">
        <v>666</v>
      </c>
      <c r="C316" s="43" t="s">
        <v>611</v>
      </c>
      <c r="D316" s="44" t="s">
        <v>667</v>
      </c>
      <c r="E316" s="42" t="s">
        <v>43</v>
      </c>
      <c r="F316" s="42" t="n">
        <v>2</v>
      </c>
      <c r="G316" s="42" t="n">
        <v>1</v>
      </c>
      <c r="H316" s="46" t="s">
        <v>187</v>
      </c>
      <c r="I316" s="56" t="str">
        <f aca="false">A316</f>
        <v>A1.020.105</v>
      </c>
      <c r="J316" s="44"/>
      <c r="K316" s="46"/>
      <c r="L316" s="46"/>
      <c r="M316" s="47" t="n">
        <v>1</v>
      </c>
      <c r="N316" s="48" t="n">
        <v>1</v>
      </c>
      <c r="O316" s="48"/>
      <c r="P316" s="48" t="n">
        <v>1</v>
      </c>
      <c r="Q316" s="48" t="n">
        <v>0</v>
      </c>
      <c r="R316" s="48" t="n">
        <v>1</v>
      </c>
      <c r="S316" s="48" t="n">
        <v>0</v>
      </c>
      <c r="T316" s="48" t="n">
        <v>1</v>
      </c>
      <c r="U316" s="48" t="n">
        <v>1</v>
      </c>
      <c r="V316" s="48" t="n">
        <v>0</v>
      </c>
      <c r="W316" s="48" t="n">
        <v>0</v>
      </c>
      <c r="X316" s="48" t="n">
        <v>1</v>
      </c>
      <c r="Y316" s="48" t="n">
        <v>0</v>
      </c>
      <c r="Z316" s="48" t="n">
        <v>0</v>
      </c>
      <c r="AA316" s="48" t="n">
        <v>1</v>
      </c>
      <c r="AB316" s="48" t="n">
        <v>0</v>
      </c>
      <c r="AC316" s="48" t="n">
        <v>0</v>
      </c>
      <c r="AD316" s="49" t="n">
        <v>0</v>
      </c>
      <c r="AE316" s="39" t="n">
        <v>314</v>
      </c>
      <c r="AF316" s="50"/>
    </row>
    <row r="317" customFormat="false" ht="15" hidden="false" customHeight="true" outlineLevel="0" collapsed="false">
      <c r="A317" s="89"/>
      <c r="B317" s="90"/>
      <c r="C317" s="91"/>
      <c r="D317" s="92"/>
      <c r="E317" s="90"/>
      <c r="F317" s="90"/>
      <c r="G317" s="90"/>
      <c r="H317" s="90"/>
      <c r="I317" s="90"/>
      <c r="J317" s="92"/>
      <c r="K317" s="90"/>
      <c r="L317" s="90"/>
      <c r="M317" s="93"/>
      <c r="N317" s="90"/>
      <c r="O317" s="90"/>
      <c r="P317" s="90"/>
      <c r="Q317" s="26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4"/>
      <c r="AE317" s="28" t="n">
        <v>315</v>
      </c>
      <c r="AF317" s="95" t="s">
        <v>668</v>
      </c>
    </row>
    <row r="318" customFormat="false" ht="14.15" hidden="false" customHeight="false" outlineLevel="0" collapsed="false">
      <c r="A318" s="58" t="s">
        <v>669</v>
      </c>
      <c r="B318" s="46" t="s">
        <v>670</v>
      </c>
      <c r="C318" s="59" t="s">
        <v>611</v>
      </c>
      <c r="D318" s="63" t="s">
        <v>667</v>
      </c>
      <c r="E318" s="46" t="s">
        <v>57</v>
      </c>
      <c r="F318" s="46" t="n">
        <v>4</v>
      </c>
      <c r="G318" s="46" t="n">
        <v>2</v>
      </c>
      <c r="H318" s="46" t="s">
        <v>58</v>
      </c>
      <c r="I318" s="56" t="str">
        <f aca="false">A318</f>
        <v>A2.030.006</v>
      </c>
      <c r="J318" s="63"/>
      <c r="K318" s="46"/>
      <c r="L318" s="46"/>
      <c r="M318" s="60" t="n">
        <v>1</v>
      </c>
      <c r="N318" s="61" t="n">
        <v>1</v>
      </c>
      <c r="O318" s="61"/>
      <c r="P318" s="61" t="n">
        <v>1</v>
      </c>
      <c r="Q318" s="48" t="n">
        <v>0</v>
      </c>
      <c r="R318" s="61" t="n">
        <v>1</v>
      </c>
      <c r="S318" s="61" t="n">
        <v>0</v>
      </c>
      <c r="T318" s="61" t="n">
        <v>1</v>
      </c>
      <c r="U318" s="61" t="n">
        <v>1</v>
      </c>
      <c r="V318" s="61" t="n">
        <v>0</v>
      </c>
      <c r="W318" s="61" t="n">
        <v>0</v>
      </c>
      <c r="X318" s="61" t="n">
        <v>1</v>
      </c>
      <c r="Y318" s="61" t="n">
        <v>0</v>
      </c>
      <c r="Z318" s="61" t="n">
        <v>0</v>
      </c>
      <c r="AA318" s="61" t="n">
        <v>1</v>
      </c>
      <c r="AB318" s="61" t="n">
        <v>0</v>
      </c>
      <c r="AC318" s="61" t="n">
        <v>0</v>
      </c>
      <c r="AD318" s="62" t="n">
        <v>0</v>
      </c>
      <c r="AE318" s="28" t="n">
        <v>316</v>
      </c>
      <c r="AF318" s="95" t="s">
        <v>671</v>
      </c>
    </row>
    <row r="319" customFormat="false" ht="14.15" hidden="false" customHeight="false" outlineLevel="0" collapsed="false">
      <c r="A319" s="58" t="s">
        <v>672</v>
      </c>
      <c r="B319" s="46" t="s">
        <v>673</v>
      </c>
      <c r="C319" s="59" t="s">
        <v>611</v>
      </c>
      <c r="D319" s="63" t="s">
        <v>667</v>
      </c>
      <c r="E319" s="46" t="s">
        <v>71</v>
      </c>
      <c r="F319" s="46" t="n">
        <v>1</v>
      </c>
      <c r="G319" s="46" t="n">
        <v>1</v>
      </c>
      <c r="H319" s="46" t="s">
        <v>72</v>
      </c>
      <c r="I319" s="56" t="str">
        <f aca="false">A319</f>
        <v>S1.020.144</v>
      </c>
      <c r="J319" s="63"/>
      <c r="K319" s="46"/>
      <c r="L319" s="46"/>
      <c r="M319" s="60" t="n">
        <v>1</v>
      </c>
      <c r="N319" s="61" t="n">
        <v>1</v>
      </c>
      <c r="O319" s="61"/>
      <c r="P319" s="61" t="n">
        <v>1</v>
      </c>
      <c r="Q319" s="48" t="n">
        <v>0</v>
      </c>
      <c r="R319" s="61" t="n">
        <v>3</v>
      </c>
      <c r="S319" s="61" t="n">
        <v>0</v>
      </c>
      <c r="T319" s="61" t="n">
        <v>1</v>
      </c>
      <c r="U319" s="61" t="n">
        <v>1</v>
      </c>
      <c r="V319" s="61" t="n">
        <v>0</v>
      </c>
      <c r="W319" s="61" t="n">
        <v>0</v>
      </c>
      <c r="X319" s="61" t="n">
        <v>5</v>
      </c>
      <c r="Y319" s="61" t="n">
        <v>0</v>
      </c>
      <c r="Z319" s="61" t="n">
        <v>0</v>
      </c>
      <c r="AA319" s="61" t="n">
        <v>4</v>
      </c>
      <c r="AB319" s="61" t="n">
        <v>0</v>
      </c>
      <c r="AC319" s="61" t="n">
        <v>0</v>
      </c>
      <c r="AD319" s="62" t="n">
        <v>0</v>
      </c>
      <c r="AE319" s="39" t="n">
        <v>317</v>
      </c>
      <c r="AF319" s="50"/>
    </row>
    <row r="320" customFormat="false" ht="14.15" hidden="false" customHeight="false" outlineLevel="0" collapsed="false">
      <c r="A320" s="58" t="s">
        <v>674</v>
      </c>
      <c r="B320" s="46" t="s">
        <v>675</v>
      </c>
      <c r="C320" s="59" t="s">
        <v>611</v>
      </c>
      <c r="D320" s="63" t="s">
        <v>667</v>
      </c>
      <c r="E320" s="46" t="s">
        <v>83</v>
      </c>
      <c r="F320" s="46" t="n">
        <v>1</v>
      </c>
      <c r="G320" s="46" t="n">
        <v>1</v>
      </c>
      <c r="H320" s="46" t="s">
        <v>84</v>
      </c>
      <c r="I320" s="56" t="str">
        <f aca="false">A320</f>
        <v>S2.020.244</v>
      </c>
      <c r="J320" s="63"/>
      <c r="K320" s="46"/>
      <c r="L320" s="46"/>
      <c r="M320" s="60" t="n">
        <v>1</v>
      </c>
      <c r="N320" s="61" t="n">
        <v>1</v>
      </c>
      <c r="O320" s="61"/>
      <c r="P320" s="61" t="n">
        <v>1</v>
      </c>
      <c r="Q320" s="48" t="n">
        <v>0</v>
      </c>
      <c r="R320" s="61" t="n">
        <v>3</v>
      </c>
      <c r="S320" s="61" t="n">
        <v>0</v>
      </c>
      <c r="T320" s="61" t="n">
        <v>1</v>
      </c>
      <c r="U320" s="61" t="n">
        <v>1</v>
      </c>
      <c r="V320" s="61" t="n">
        <v>0</v>
      </c>
      <c r="W320" s="61" t="n">
        <v>0</v>
      </c>
      <c r="X320" s="61" t="n">
        <v>5</v>
      </c>
      <c r="Y320" s="61" t="n">
        <v>0</v>
      </c>
      <c r="Z320" s="61" t="n">
        <v>0</v>
      </c>
      <c r="AA320" s="61" t="n">
        <v>4</v>
      </c>
      <c r="AB320" s="61" t="n">
        <v>0</v>
      </c>
      <c r="AC320" s="61" t="n">
        <v>0</v>
      </c>
      <c r="AD320" s="62" t="n">
        <v>0</v>
      </c>
      <c r="AE320" s="39" t="n">
        <v>318</v>
      </c>
      <c r="AF320" s="50"/>
    </row>
    <row r="321" customFormat="false" ht="15" hidden="false" customHeight="true" outlineLevel="0" collapsed="false">
      <c r="A321" s="58" t="s">
        <v>676</v>
      </c>
      <c r="B321" s="64" t="s">
        <v>677</v>
      </c>
      <c r="C321" s="59" t="s">
        <v>611</v>
      </c>
      <c r="D321" s="63" t="s">
        <v>667</v>
      </c>
      <c r="E321" s="46" t="s">
        <v>95</v>
      </c>
      <c r="F321" s="46" t="n">
        <v>1</v>
      </c>
      <c r="G321" s="46" t="n">
        <v>1</v>
      </c>
      <c r="H321" s="46" t="s">
        <v>96</v>
      </c>
      <c r="I321" s="56" t="str">
        <f aca="false">A321</f>
        <v>S3.020.344</v>
      </c>
      <c r="J321" s="63"/>
      <c r="K321" s="46"/>
      <c r="L321" s="46"/>
      <c r="M321" s="60" t="n">
        <v>1</v>
      </c>
      <c r="N321" s="61" t="n">
        <v>1</v>
      </c>
      <c r="O321" s="61"/>
      <c r="P321" s="61" t="n">
        <v>1</v>
      </c>
      <c r="Q321" s="48" t="n">
        <v>0</v>
      </c>
      <c r="R321" s="61" t="n">
        <v>3</v>
      </c>
      <c r="S321" s="61" t="n">
        <v>0</v>
      </c>
      <c r="T321" s="61" t="n">
        <v>1</v>
      </c>
      <c r="U321" s="61" t="n">
        <v>1</v>
      </c>
      <c r="V321" s="61" t="n">
        <v>0</v>
      </c>
      <c r="W321" s="61" t="n">
        <v>0</v>
      </c>
      <c r="X321" s="61" t="n">
        <v>5</v>
      </c>
      <c r="Y321" s="61" t="n">
        <v>0</v>
      </c>
      <c r="Z321" s="61" t="n">
        <v>0</v>
      </c>
      <c r="AA321" s="61" t="n">
        <v>4</v>
      </c>
      <c r="AB321" s="61" t="n">
        <v>0</v>
      </c>
      <c r="AC321" s="61" t="n">
        <v>0</v>
      </c>
      <c r="AD321" s="62" t="n">
        <v>0</v>
      </c>
      <c r="AE321" s="39" t="n">
        <v>319</v>
      </c>
      <c r="AF321" s="50"/>
    </row>
    <row r="322" customFormat="false" ht="14.15" hidden="false" customHeight="false" outlineLevel="0" collapsed="false">
      <c r="A322" s="58" t="s">
        <v>678</v>
      </c>
      <c r="B322" s="46" t="s">
        <v>679</v>
      </c>
      <c r="C322" s="59" t="s">
        <v>611</v>
      </c>
      <c r="D322" s="63" t="s">
        <v>667</v>
      </c>
      <c r="E322" s="46" t="s">
        <v>107</v>
      </c>
      <c r="F322" s="46" t="n">
        <v>1</v>
      </c>
      <c r="G322" s="46" t="n">
        <v>1</v>
      </c>
      <c r="H322" s="46" t="s">
        <v>108</v>
      </c>
      <c r="I322" s="56" t="str">
        <f aca="false">A322</f>
        <v>S4.020.444</v>
      </c>
      <c r="J322" s="63"/>
      <c r="K322" s="46"/>
      <c r="L322" s="46"/>
      <c r="M322" s="60" t="n">
        <v>1</v>
      </c>
      <c r="N322" s="61" t="n">
        <v>1</v>
      </c>
      <c r="O322" s="61"/>
      <c r="P322" s="61" t="n">
        <v>1</v>
      </c>
      <c r="Q322" s="48" t="n">
        <v>0</v>
      </c>
      <c r="R322" s="61" t="n">
        <v>3</v>
      </c>
      <c r="S322" s="61" t="n">
        <v>0</v>
      </c>
      <c r="T322" s="61" t="n">
        <v>1</v>
      </c>
      <c r="U322" s="61" t="n">
        <v>1</v>
      </c>
      <c r="V322" s="61" t="n">
        <v>0</v>
      </c>
      <c r="W322" s="61" t="n">
        <v>0</v>
      </c>
      <c r="X322" s="61" t="n">
        <v>5</v>
      </c>
      <c r="Y322" s="61" t="n">
        <v>0</v>
      </c>
      <c r="Z322" s="61" t="n">
        <v>0</v>
      </c>
      <c r="AA322" s="61" t="n">
        <v>4</v>
      </c>
      <c r="AB322" s="61" t="n">
        <v>0</v>
      </c>
      <c r="AC322" s="61" t="n">
        <v>0</v>
      </c>
      <c r="AD322" s="62" t="n">
        <v>0</v>
      </c>
      <c r="AE322" s="28" t="n">
        <v>320</v>
      </c>
      <c r="AF322" s="50"/>
    </row>
    <row r="323" customFormat="false" ht="14.15" hidden="false" customHeight="false" outlineLevel="0" collapsed="false">
      <c r="A323" s="58" t="s">
        <v>680</v>
      </c>
      <c r="B323" s="46" t="s">
        <v>681</v>
      </c>
      <c r="C323" s="59" t="s">
        <v>611</v>
      </c>
      <c r="D323" s="63" t="s">
        <v>667</v>
      </c>
      <c r="E323" s="46" t="s">
        <v>119</v>
      </c>
      <c r="F323" s="46" t="n">
        <v>1</v>
      </c>
      <c r="G323" s="46" t="n">
        <v>1</v>
      </c>
      <c r="H323" s="46" t="s">
        <v>120</v>
      </c>
      <c r="I323" s="56" t="str">
        <f aca="false">A323</f>
        <v>S5.020.544</v>
      </c>
      <c r="J323" s="63"/>
      <c r="K323" s="46"/>
      <c r="L323" s="46"/>
      <c r="M323" s="60" t="n">
        <v>1</v>
      </c>
      <c r="N323" s="61" t="n">
        <v>1</v>
      </c>
      <c r="O323" s="61"/>
      <c r="P323" s="61" t="n">
        <v>1</v>
      </c>
      <c r="Q323" s="48" t="n">
        <v>0</v>
      </c>
      <c r="R323" s="61" t="n">
        <v>3</v>
      </c>
      <c r="S323" s="61" t="n">
        <v>0</v>
      </c>
      <c r="T323" s="61" t="n">
        <v>1</v>
      </c>
      <c r="U323" s="61" t="n">
        <v>1</v>
      </c>
      <c r="V323" s="61" t="n">
        <v>0</v>
      </c>
      <c r="W323" s="61" t="n">
        <v>0</v>
      </c>
      <c r="X323" s="61" t="n">
        <v>5</v>
      </c>
      <c r="Y323" s="61" t="n">
        <v>0</v>
      </c>
      <c r="Z323" s="61" t="n">
        <v>0</v>
      </c>
      <c r="AA323" s="61" t="n">
        <v>4</v>
      </c>
      <c r="AB323" s="61" t="n">
        <v>0</v>
      </c>
      <c r="AC323" s="61" t="n">
        <v>0</v>
      </c>
      <c r="AD323" s="62" t="n">
        <v>0</v>
      </c>
      <c r="AE323" s="28" t="n">
        <v>321</v>
      </c>
      <c r="AF323" s="50"/>
    </row>
    <row r="324" customFormat="false" ht="14.15" hidden="false" customHeight="false" outlineLevel="0" collapsed="false">
      <c r="A324" s="58" t="s">
        <v>682</v>
      </c>
      <c r="B324" s="46" t="s">
        <v>683</v>
      </c>
      <c r="C324" s="59" t="s">
        <v>611</v>
      </c>
      <c r="D324" s="63" t="s">
        <v>667</v>
      </c>
      <c r="E324" s="46" t="s">
        <v>131</v>
      </c>
      <c r="F324" s="46" t="n">
        <v>1</v>
      </c>
      <c r="G324" s="46" t="n">
        <v>1</v>
      </c>
      <c r="H324" s="46" t="s">
        <v>132</v>
      </c>
      <c r="I324" s="56" t="str">
        <f aca="false">A324</f>
        <v>S6.020.644</v>
      </c>
      <c r="J324" s="63"/>
      <c r="K324" s="46"/>
      <c r="L324" s="46"/>
      <c r="M324" s="60" t="n">
        <v>1</v>
      </c>
      <c r="N324" s="61" t="n">
        <v>1</v>
      </c>
      <c r="O324" s="61"/>
      <c r="P324" s="61" t="n">
        <v>1</v>
      </c>
      <c r="Q324" s="48" t="n">
        <v>0</v>
      </c>
      <c r="R324" s="61" t="n">
        <v>3</v>
      </c>
      <c r="S324" s="61" t="n">
        <v>0</v>
      </c>
      <c r="T324" s="61" t="n">
        <v>1</v>
      </c>
      <c r="U324" s="61" t="n">
        <v>1</v>
      </c>
      <c r="V324" s="61" t="n">
        <v>0</v>
      </c>
      <c r="W324" s="61" t="n">
        <v>0</v>
      </c>
      <c r="X324" s="61" t="n">
        <v>5</v>
      </c>
      <c r="Y324" s="61" t="n">
        <v>0</v>
      </c>
      <c r="Z324" s="61" t="n">
        <v>0</v>
      </c>
      <c r="AA324" s="61" t="n">
        <v>4</v>
      </c>
      <c r="AB324" s="61" t="n">
        <v>0</v>
      </c>
      <c r="AC324" s="61" t="n">
        <v>0</v>
      </c>
      <c r="AD324" s="62" t="n">
        <v>0</v>
      </c>
      <c r="AE324" s="39" t="n">
        <v>322</v>
      </c>
      <c r="AF324" s="50"/>
    </row>
    <row r="325" customFormat="false" ht="14.15" hidden="false" customHeight="false" outlineLevel="0" collapsed="false">
      <c r="A325" s="58" t="s">
        <v>684</v>
      </c>
      <c r="B325" s="46" t="s">
        <v>685</v>
      </c>
      <c r="C325" s="59" t="s">
        <v>611</v>
      </c>
      <c r="D325" s="63" t="s">
        <v>667</v>
      </c>
      <c r="E325" s="46" t="s">
        <v>143</v>
      </c>
      <c r="F325" s="46" t="n">
        <v>1</v>
      </c>
      <c r="G325" s="46" t="n">
        <v>1</v>
      </c>
      <c r="H325" s="46" t="s">
        <v>144</v>
      </c>
      <c r="I325" s="56" t="str">
        <f aca="false">A325</f>
        <v>S7.020.744</v>
      </c>
      <c r="J325" s="63"/>
      <c r="K325" s="46"/>
      <c r="L325" s="46"/>
      <c r="M325" s="60" t="n">
        <v>1</v>
      </c>
      <c r="N325" s="61" t="n">
        <v>1</v>
      </c>
      <c r="O325" s="61"/>
      <c r="P325" s="61" t="n">
        <v>1</v>
      </c>
      <c r="Q325" s="48" t="n">
        <v>0</v>
      </c>
      <c r="R325" s="61" t="n">
        <v>3</v>
      </c>
      <c r="S325" s="61" t="n">
        <v>0</v>
      </c>
      <c r="T325" s="61" t="n">
        <v>1</v>
      </c>
      <c r="U325" s="61" t="n">
        <v>1</v>
      </c>
      <c r="V325" s="61" t="n">
        <v>0</v>
      </c>
      <c r="W325" s="61" t="n">
        <v>0</v>
      </c>
      <c r="X325" s="61" t="n">
        <v>5</v>
      </c>
      <c r="Y325" s="61" t="n">
        <v>0</v>
      </c>
      <c r="Z325" s="61" t="n">
        <v>0</v>
      </c>
      <c r="AA325" s="61" t="n">
        <v>4</v>
      </c>
      <c r="AB325" s="61" t="n">
        <v>0</v>
      </c>
      <c r="AC325" s="61" t="n">
        <v>0</v>
      </c>
      <c r="AD325" s="62" t="n">
        <v>0</v>
      </c>
      <c r="AE325" s="39" t="n">
        <v>323</v>
      </c>
      <c r="AF325" s="50"/>
    </row>
    <row r="326" customFormat="false" ht="14.15" hidden="false" customHeight="false" outlineLevel="0" collapsed="false">
      <c r="A326" s="58" t="s">
        <v>686</v>
      </c>
      <c r="B326" s="46" t="s">
        <v>687</v>
      </c>
      <c r="C326" s="59" t="s">
        <v>611</v>
      </c>
      <c r="D326" s="63" t="s">
        <v>667</v>
      </c>
      <c r="E326" s="46" t="s">
        <v>155</v>
      </c>
      <c r="F326" s="46" t="n">
        <v>1</v>
      </c>
      <c r="G326" s="46" t="n">
        <v>1</v>
      </c>
      <c r="H326" s="46" t="s">
        <v>156</v>
      </c>
      <c r="I326" s="56" t="str">
        <f aca="false">A326</f>
        <v>S8.020.844</v>
      </c>
      <c r="J326" s="63"/>
      <c r="K326" s="46"/>
      <c r="L326" s="46"/>
      <c r="M326" s="60" t="n">
        <v>1</v>
      </c>
      <c r="N326" s="61" t="n">
        <v>1</v>
      </c>
      <c r="O326" s="61"/>
      <c r="P326" s="61" t="n">
        <v>1</v>
      </c>
      <c r="Q326" s="48" t="n">
        <v>0</v>
      </c>
      <c r="R326" s="61" t="n">
        <v>3</v>
      </c>
      <c r="S326" s="61" t="n">
        <v>0</v>
      </c>
      <c r="T326" s="61" t="n">
        <v>1</v>
      </c>
      <c r="U326" s="61" t="n">
        <v>1</v>
      </c>
      <c r="V326" s="61" t="n">
        <v>0</v>
      </c>
      <c r="W326" s="61" t="n">
        <v>0</v>
      </c>
      <c r="X326" s="61" t="n">
        <v>5</v>
      </c>
      <c r="Y326" s="61" t="n">
        <v>0</v>
      </c>
      <c r="Z326" s="61" t="n">
        <v>0</v>
      </c>
      <c r="AA326" s="61" t="n">
        <v>4</v>
      </c>
      <c r="AB326" s="61" t="n">
        <v>0</v>
      </c>
      <c r="AC326" s="61" t="n">
        <v>0</v>
      </c>
      <c r="AD326" s="62" t="n">
        <v>0</v>
      </c>
      <c r="AE326" s="39" t="n">
        <v>324</v>
      </c>
      <c r="AF326" s="50"/>
    </row>
    <row r="327" customFormat="false" ht="14.15" hidden="false" customHeight="false" outlineLevel="0" collapsed="false">
      <c r="A327" s="30" t="s">
        <v>688</v>
      </c>
      <c r="B327" s="31"/>
      <c r="C327" s="32"/>
      <c r="D327" s="33"/>
      <c r="E327" s="31"/>
      <c r="F327" s="31"/>
      <c r="G327" s="31"/>
      <c r="H327" s="35"/>
      <c r="I327" s="35"/>
      <c r="J327" s="33"/>
      <c r="K327" s="35"/>
      <c r="L327" s="35"/>
      <c r="M327" s="36" t="n">
        <f aca="false">SUM(M328:M383)</f>
        <v>54</v>
      </c>
      <c r="N327" s="37" t="n">
        <f aca="false">SUM(N328:N383)</f>
        <v>54</v>
      </c>
      <c r="O327" s="37"/>
      <c r="P327" s="37" t="n">
        <f aca="false">SUM(P328:P383)</f>
        <v>54</v>
      </c>
      <c r="Q327" s="88" t="n">
        <f aca="false">SUM(Q328:Q383)</f>
        <v>0</v>
      </c>
      <c r="R327" s="37" t="n">
        <f aca="false">SUM(R328:R383)</f>
        <v>70</v>
      </c>
      <c r="S327" s="37" t="n">
        <f aca="false">SUM(S328:S383)</f>
        <v>0</v>
      </c>
      <c r="T327" s="37" t="n">
        <f aca="false">SUM(T328:T383)</f>
        <v>54</v>
      </c>
      <c r="U327" s="37" t="n">
        <f aca="false">SUM(U328:U383)</f>
        <v>54</v>
      </c>
      <c r="V327" s="37" t="n">
        <f aca="false">SUM(V328:V383)</f>
        <v>0</v>
      </c>
      <c r="W327" s="37" t="n">
        <f aca="false">SUM(W328:W383)</f>
        <v>0</v>
      </c>
      <c r="X327" s="37" t="n">
        <f aca="false">SUM(X328:X383)</f>
        <v>85</v>
      </c>
      <c r="Y327" s="37" t="n">
        <f aca="false">SUM(Y328:Y383)</f>
        <v>0</v>
      </c>
      <c r="Z327" s="37" t="n">
        <f aca="false">SUM(Z328:Z383)</f>
        <v>73</v>
      </c>
      <c r="AA327" s="37" t="n">
        <f aca="false">SUM(AA328:AA383)</f>
        <v>54</v>
      </c>
      <c r="AB327" s="37" t="n">
        <f aca="false">SUM(AB328:AB383)</f>
        <v>0</v>
      </c>
      <c r="AC327" s="37" t="n">
        <f aca="false">SUM(AC328:AC383)</f>
        <v>0</v>
      </c>
      <c r="AD327" s="38" t="n">
        <f aca="false">SUM(AD328:AD383)</f>
        <v>0</v>
      </c>
      <c r="AE327" s="28" t="n">
        <v>325</v>
      </c>
      <c r="AF327" s="50"/>
    </row>
    <row r="328" customFormat="false" ht="14.15" hidden="false" customHeight="false" outlineLevel="0" collapsed="false">
      <c r="A328" s="96"/>
      <c r="B328" s="26"/>
      <c r="C328" s="97"/>
      <c r="D328" s="98"/>
      <c r="E328" s="26"/>
      <c r="F328" s="26"/>
      <c r="G328" s="26"/>
      <c r="H328" s="90"/>
      <c r="I328" s="90"/>
      <c r="J328" s="98"/>
      <c r="K328" s="90"/>
      <c r="L328" s="90"/>
      <c r="M328" s="99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100"/>
      <c r="AE328" s="28" t="n">
        <v>326</v>
      </c>
      <c r="AF328" s="95" t="s">
        <v>668</v>
      </c>
    </row>
    <row r="329" customFormat="false" ht="14.15" hidden="false" customHeight="false" outlineLevel="0" collapsed="false">
      <c r="A329" s="58" t="s">
        <v>689</v>
      </c>
      <c r="B329" s="46" t="s">
        <v>690</v>
      </c>
      <c r="C329" s="59" t="s">
        <v>611</v>
      </c>
      <c r="D329" s="44" t="s">
        <v>691</v>
      </c>
      <c r="E329" s="42" t="s">
        <v>43</v>
      </c>
      <c r="F329" s="46" t="n">
        <v>4</v>
      </c>
      <c r="G329" s="46" t="n">
        <v>2</v>
      </c>
      <c r="H329" s="46" t="s">
        <v>44</v>
      </c>
      <c r="I329" s="45" t="s">
        <v>53</v>
      </c>
      <c r="J329" s="44"/>
      <c r="K329" s="46"/>
      <c r="L329" s="46"/>
      <c r="M329" s="60" t="n">
        <v>1</v>
      </c>
      <c r="N329" s="61" t="n">
        <v>1</v>
      </c>
      <c r="O329" s="61"/>
      <c r="P329" s="61" t="n">
        <v>1</v>
      </c>
      <c r="Q329" s="48" t="n">
        <v>0</v>
      </c>
      <c r="R329" s="61" t="n">
        <v>1</v>
      </c>
      <c r="S329" s="61" t="n">
        <v>0</v>
      </c>
      <c r="T329" s="61" t="n">
        <v>1</v>
      </c>
      <c r="U329" s="61" t="n">
        <v>1</v>
      </c>
      <c r="V329" s="61" t="n">
        <v>0</v>
      </c>
      <c r="W329" s="61" t="n">
        <v>0</v>
      </c>
      <c r="X329" s="61" t="n">
        <v>2</v>
      </c>
      <c r="Y329" s="61" t="n">
        <v>0</v>
      </c>
      <c r="Z329" s="61" t="n">
        <v>1</v>
      </c>
      <c r="AA329" s="61" t="n">
        <v>1</v>
      </c>
      <c r="AB329" s="61" t="n">
        <v>0</v>
      </c>
      <c r="AC329" s="61" t="n">
        <v>0</v>
      </c>
      <c r="AD329" s="62" t="n">
        <v>0</v>
      </c>
      <c r="AE329" s="39" t="n">
        <v>327</v>
      </c>
      <c r="AF329" s="95" t="s">
        <v>671</v>
      </c>
    </row>
    <row r="330" customFormat="false" ht="14.15" hidden="false" customHeight="false" outlineLevel="0" collapsed="false">
      <c r="A330" s="58" t="s">
        <v>692</v>
      </c>
      <c r="B330" s="46" t="s">
        <v>693</v>
      </c>
      <c r="C330" s="59" t="s">
        <v>611</v>
      </c>
      <c r="D330" s="44" t="s">
        <v>691</v>
      </c>
      <c r="E330" s="42" t="s">
        <v>43</v>
      </c>
      <c r="F330" s="46" t="n">
        <v>7</v>
      </c>
      <c r="G330" s="46" t="n">
        <v>2</v>
      </c>
      <c r="H330" s="46" t="s">
        <v>44</v>
      </c>
      <c r="I330" s="56" t="str">
        <f aca="false">A330</f>
        <v>A1.030.031</v>
      </c>
      <c r="J330" s="44"/>
      <c r="K330" s="46"/>
      <c r="L330" s="46"/>
      <c r="M330" s="60" t="n">
        <v>1</v>
      </c>
      <c r="N330" s="61" t="n">
        <v>1</v>
      </c>
      <c r="O330" s="61"/>
      <c r="P330" s="61" t="n">
        <v>1</v>
      </c>
      <c r="Q330" s="48" t="n">
        <v>0</v>
      </c>
      <c r="R330" s="61" t="n">
        <v>1</v>
      </c>
      <c r="S330" s="61" t="n">
        <v>0</v>
      </c>
      <c r="T330" s="61" t="n">
        <v>1</v>
      </c>
      <c r="U330" s="61" t="n">
        <v>1</v>
      </c>
      <c r="V330" s="61" t="n">
        <v>0</v>
      </c>
      <c r="W330" s="61" t="n">
        <v>0</v>
      </c>
      <c r="X330" s="61" t="n">
        <v>1</v>
      </c>
      <c r="Y330" s="61" t="n">
        <v>0</v>
      </c>
      <c r="Z330" s="61" t="n">
        <v>1</v>
      </c>
      <c r="AA330" s="61" t="n">
        <v>1</v>
      </c>
      <c r="AB330" s="61" t="n">
        <v>0</v>
      </c>
      <c r="AC330" s="61" t="n">
        <v>0</v>
      </c>
      <c r="AD330" s="62" t="n">
        <v>0</v>
      </c>
      <c r="AE330" s="39" t="n">
        <v>328</v>
      </c>
      <c r="AF330" s="50"/>
    </row>
    <row r="331" customFormat="false" ht="14.15" hidden="false" customHeight="false" outlineLevel="0" collapsed="false">
      <c r="A331" s="58" t="s">
        <v>694</v>
      </c>
      <c r="B331" s="46" t="s">
        <v>695</v>
      </c>
      <c r="C331" s="59" t="s">
        <v>611</v>
      </c>
      <c r="D331" s="44" t="s">
        <v>691</v>
      </c>
      <c r="E331" s="42" t="s">
        <v>43</v>
      </c>
      <c r="F331" s="46" t="n">
        <v>7</v>
      </c>
      <c r="G331" s="46" t="n">
        <v>2</v>
      </c>
      <c r="H331" s="46" t="s">
        <v>44</v>
      </c>
      <c r="I331" s="56" t="str">
        <f aca="false">A331</f>
        <v>A1.030.032</v>
      </c>
      <c r="J331" s="44"/>
      <c r="K331" s="46"/>
      <c r="L331" s="46"/>
      <c r="M331" s="60" t="n">
        <v>1</v>
      </c>
      <c r="N331" s="61" t="n">
        <v>1</v>
      </c>
      <c r="O331" s="61"/>
      <c r="P331" s="61" t="n">
        <v>1</v>
      </c>
      <c r="Q331" s="48" t="n">
        <v>0</v>
      </c>
      <c r="R331" s="61" t="n">
        <v>1</v>
      </c>
      <c r="S331" s="61" t="n">
        <v>0</v>
      </c>
      <c r="T331" s="61" t="n">
        <v>1</v>
      </c>
      <c r="U331" s="61" t="n">
        <v>1</v>
      </c>
      <c r="V331" s="61" t="n">
        <v>0</v>
      </c>
      <c r="W331" s="61" t="n">
        <v>0</v>
      </c>
      <c r="X331" s="61" t="n">
        <v>1</v>
      </c>
      <c r="Y331" s="61" t="n">
        <v>0</v>
      </c>
      <c r="Z331" s="61" t="n">
        <v>1</v>
      </c>
      <c r="AA331" s="61" t="n">
        <v>1</v>
      </c>
      <c r="AB331" s="61" t="n">
        <v>0</v>
      </c>
      <c r="AC331" s="61" t="n">
        <v>0</v>
      </c>
      <c r="AD331" s="62" t="n">
        <v>0</v>
      </c>
      <c r="AE331" s="39" t="n">
        <v>329</v>
      </c>
      <c r="AF331" s="50"/>
    </row>
    <row r="332" customFormat="false" ht="14.15" hidden="false" customHeight="false" outlineLevel="0" collapsed="false">
      <c r="A332" s="58" t="s">
        <v>613</v>
      </c>
      <c r="B332" s="46" t="s">
        <v>696</v>
      </c>
      <c r="C332" s="59" t="s">
        <v>611</v>
      </c>
      <c r="D332" s="44" t="s">
        <v>691</v>
      </c>
      <c r="E332" s="42" t="s">
        <v>43</v>
      </c>
      <c r="F332" s="46" t="n">
        <v>5</v>
      </c>
      <c r="G332" s="46" t="n">
        <v>2</v>
      </c>
      <c r="H332" s="46" t="s">
        <v>44</v>
      </c>
      <c r="I332" s="56" t="str">
        <f aca="false">A332</f>
        <v>A1.030.039</v>
      </c>
      <c r="J332" s="44"/>
      <c r="K332" s="46"/>
      <c r="L332" s="46"/>
      <c r="M332" s="60" t="n">
        <v>1</v>
      </c>
      <c r="N332" s="61" t="n">
        <v>1</v>
      </c>
      <c r="O332" s="61"/>
      <c r="P332" s="61" t="n">
        <v>1</v>
      </c>
      <c r="Q332" s="48" t="n">
        <v>0</v>
      </c>
      <c r="R332" s="61" t="n">
        <v>1</v>
      </c>
      <c r="S332" s="61" t="n">
        <v>0</v>
      </c>
      <c r="T332" s="61" t="n">
        <v>1</v>
      </c>
      <c r="U332" s="61" t="n">
        <v>1</v>
      </c>
      <c r="V332" s="61" t="n">
        <v>0</v>
      </c>
      <c r="W332" s="61" t="n">
        <v>0</v>
      </c>
      <c r="X332" s="61" t="n">
        <v>1</v>
      </c>
      <c r="Y332" s="61" t="n">
        <v>0</v>
      </c>
      <c r="Z332" s="61" t="n">
        <v>2</v>
      </c>
      <c r="AA332" s="61" t="n">
        <v>1</v>
      </c>
      <c r="AB332" s="61" t="n">
        <v>0</v>
      </c>
      <c r="AC332" s="61" t="n">
        <v>0</v>
      </c>
      <c r="AD332" s="62" t="n">
        <v>0</v>
      </c>
      <c r="AE332" s="28" t="n">
        <v>330</v>
      </c>
      <c r="AF332" s="50"/>
    </row>
    <row r="333" customFormat="false" ht="14.15" hidden="false" customHeight="false" outlineLevel="0" collapsed="false">
      <c r="A333" s="58" t="s">
        <v>697</v>
      </c>
      <c r="B333" s="46" t="s">
        <v>698</v>
      </c>
      <c r="C333" s="59" t="s">
        <v>611</v>
      </c>
      <c r="D333" s="44" t="s">
        <v>691</v>
      </c>
      <c r="E333" s="42" t="s">
        <v>43</v>
      </c>
      <c r="F333" s="46" t="n">
        <v>6</v>
      </c>
      <c r="G333" s="46" t="n">
        <v>2</v>
      </c>
      <c r="H333" s="46" t="s">
        <v>44</v>
      </c>
      <c r="I333" s="56" t="str">
        <f aca="false">A333</f>
        <v>A1.030.046</v>
      </c>
      <c r="J333" s="44"/>
      <c r="K333" s="46"/>
      <c r="L333" s="46"/>
      <c r="M333" s="60" t="n">
        <v>1</v>
      </c>
      <c r="N333" s="61" t="n">
        <v>1</v>
      </c>
      <c r="O333" s="61"/>
      <c r="P333" s="61" t="n">
        <v>1</v>
      </c>
      <c r="Q333" s="48" t="n">
        <v>0</v>
      </c>
      <c r="R333" s="61" t="n">
        <v>1</v>
      </c>
      <c r="S333" s="61" t="n">
        <v>0</v>
      </c>
      <c r="T333" s="61" t="n">
        <v>1</v>
      </c>
      <c r="U333" s="61" t="n">
        <v>1</v>
      </c>
      <c r="V333" s="61" t="n">
        <v>0</v>
      </c>
      <c r="W333" s="61" t="n">
        <v>0</v>
      </c>
      <c r="X333" s="61" t="n">
        <v>2</v>
      </c>
      <c r="Y333" s="61" t="n">
        <v>0</v>
      </c>
      <c r="Z333" s="61" t="n">
        <v>2</v>
      </c>
      <c r="AA333" s="61" t="n">
        <v>1</v>
      </c>
      <c r="AB333" s="61" t="n">
        <v>0</v>
      </c>
      <c r="AC333" s="61" t="n">
        <v>0</v>
      </c>
      <c r="AD333" s="62" t="n">
        <v>0</v>
      </c>
      <c r="AE333" s="28" t="n">
        <v>331</v>
      </c>
      <c r="AF333" s="50"/>
    </row>
    <row r="334" customFormat="false" ht="14.15" hidden="false" customHeight="false" outlineLevel="0" collapsed="false">
      <c r="A334" s="58" t="s">
        <v>699</v>
      </c>
      <c r="B334" s="46" t="s">
        <v>700</v>
      </c>
      <c r="C334" s="59" t="s">
        <v>611</v>
      </c>
      <c r="D334" s="44" t="s">
        <v>691</v>
      </c>
      <c r="E334" s="42" t="s">
        <v>43</v>
      </c>
      <c r="F334" s="46" t="n">
        <v>6</v>
      </c>
      <c r="G334" s="46" t="n">
        <v>2</v>
      </c>
      <c r="H334" s="46" t="s">
        <v>44</v>
      </c>
      <c r="I334" s="56" t="str">
        <f aca="false">A334</f>
        <v>A1.030.047</v>
      </c>
      <c r="J334" s="44"/>
      <c r="K334" s="46"/>
      <c r="L334" s="46"/>
      <c r="M334" s="60" t="n">
        <v>1</v>
      </c>
      <c r="N334" s="61" t="n">
        <v>1</v>
      </c>
      <c r="O334" s="61"/>
      <c r="P334" s="61" t="n">
        <v>1</v>
      </c>
      <c r="Q334" s="48" t="n">
        <v>0</v>
      </c>
      <c r="R334" s="61" t="n">
        <v>1</v>
      </c>
      <c r="S334" s="61" t="n">
        <v>0</v>
      </c>
      <c r="T334" s="61" t="n">
        <v>1</v>
      </c>
      <c r="U334" s="61" t="n">
        <v>1</v>
      </c>
      <c r="V334" s="61" t="n">
        <v>0</v>
      </c>
      <c r="W334" s="61" t="n">
        <v>0</v>
      </c>
      <c r="X334" s="61" t="n">
        <v>1</v>
      </c>
      <c r="Y334" s="61" t="n">
        <v>0</v>
      </c>
      <c r="Z334" s="61" t="n">
        <v>1</v>
      </c>
      <c r="AA334" s="61" t="n">
        <v>1</v>
      </c>
      <c r="AB334" s="61" t="n">
        <v>0</v>
      </c>
      <c r="AC334" s="61" t="n">
        <v>0</v>
      </c>
      <c r="AD334" s="62" t="n">
        <v>0</v>
      </c>
      <c r="AE334" s="39" t="n">
        <v>332</v>
      </c>
      <c r="AF334" s="50"/>
    </row>
    <row r="335" customFormat="false" ht="14.15" hidden="false" customHeight="false" outlineLevel="0" collapsed="false">
      <c r="A335" s="58" t="s">
        <v>701</v>
      </c>
      <c r="B335" s="46" t="s">
        <v>702</v>
      </c>
      <c r="C335" s="59" t="s">
        <v>611</v>
      </c>
      <c r="D335" s="44" t="s">
        <v>691</v>
      </c>
      <c r="E335" s="42" t="s">
        <v>43</v>
      </c>
      <c r="F335" s="46" t="n">
        <v>6</v>
      </c>
      <c r="G335" s="46" t="n">
        <v>2</v>
      </c>
      <c r="H335" s="46" t="s">
        <v>44</v>
      </c>
      <c r="I335" s="56" t="str">
        <f aca="false">A335</f>
        <v>A1.030.048</v>
      </c>
      <c r="J335" s="44"/>
      <c r="K335" s="46"/>
      <c r="L335" s="46"/>
      <c r="M335" s="60" t="n">
        <v>1</v>
      </c>
      <c r="N335" s="61" t="n">
        <v>1</v>
      </c>
      <c r="O335" s="61"/>
      <c r="P335" s="61" t="n">
        <v>1</v>
      </c>
      <c r="Q335" s="48" t="n">
        <v>0</v>
      </c>
      <c r="R335" s="61" t="n">
        <v>1</v>
      </c>
      <c r="S335" s="61" t="n">
        <v>0</v>
      </c>
      <c r="T335" s="61" t="n">
        <v>1</v>
      </c>
      <c r="U335" s="61" t="n">
        <v>1</v>
      </c>
      <c r="V335" s="61" t="n">
        <v>0</v>
      </c>
      <c r="W335" s="61" t="n">
        <v>0</v>
      </c>
      <c r="X335" s="61" t="n">
        <v>1</v>
      </c>
      <c r="Y335" s="61" t="n">
        <v>0</v>
      </c>
      <c r="Z335" s="61" t="n">
        <v>1</v>
      </c>
      <c r="AA335" s="61" t="n">
        <v>1</v>
      </c>
      <c r="AB335" s="61" t="n">
        <v>0</v>
      </c>
      <c r="AC335" s="61" t="n">
        <v>0</v>
      </c>
      <c r="AD335" s="62" t="n">
        <v>0</v>
      </c>
      <c r="AE335" s="39" t="n">
        <v>333</v>
      </c>
      <c r="AF335" s="50"/>
    </row>
    <row r="336" customFormat="false" ht="14.15" hidden="false" customHeight="false" outlineLevel="0" collapsed="false">
      <c r="A336" s="58" t="s">
        <v>45</v>
      </c>
      <c r="B336" s="46" t="s">
        <v>703</v>
      </c>
      <c r="C336" s="59" t="s">
        <v>611</v>
      </c>
      <c r="D336" s="44" t="s">
        <v>691</v>
      </c>
      <c r="E336" s="42" t="s">
        <v>43</v>
      </c>
      <c r="F336" s="46" t="n">
        <v>7</v>
      </c>
      <c r="G336" s="46" t="n">
        <v>2</v>
      </c>
      <c r="H336" s="46" t="s">
        <v>44</v>
      </c>
      <c r="I336" s="56" t="str">
        <f aca="false">A336</f>
        <v>A1.030.054</v>
      </c>
      <c r="J336" s="44"/>
      <c r="K336" s="46"/>
      <c r="L336" s="46"/>
      <c r="M336" s="60" t="n">
        <v>1</v>
      </c>
      <c r="N336" s="61" t="n">
        <v>1</v>
      </c>
      <c r="O336" s="61"/>
      <c r="P336" s="61" t="n">
        <v>1</v>
      </c>
      <c r="Q336" s="48" t="n">
        <v>0</v>
      </c>
      <c r="R336" s="61" t="n">
        <v>1</v>
      </c>
      <c r="S336" s="61" t="n">
        <v>0</v>
      </c>
      <c r="T336" s="61" t="n">
        <v>1</v>
      </c>
      <c r="U336" s="61" t="n">
        <v>1</v>
      </c>
      <c r="V336" s="61" t="n">
        <v>0</v>
      </c>
      <c r="W336" s="61" t="n">
        <v>0</v>
      </c>
      <c r="X336" s="61" t="n">
        <v>3</v>
      </c>
      <c r="Y336" s="61" t="n">
        <v>0</v>
      </c>
      <c r="Z336" s="61" t="n">
        <v>1</v>
      </c>
      <c r="AA336" s="61" t="n">
        <v>1</v>
      </c>
      <c r="AB336" s="61" t="n">
        <v>0</v>
      </c>
      <c r="AC336" s="61" t="n">
        <v>0</v>
      </c>
      <c r="AD336" s="62" t="n">
        <v>0</v>
      </c>
      <c r="AE336" s="39" t="n">
        <v>334</v>
      </c>
      <c r="AF336" s="50"/>
    </row>
    <row r="337" customFormat="false" ht="14.15" hidden="false" customHeight="false" outlineLevel="0" collapsed="false">
      <c r="A337" s="58" t="s">
        <v>704</v>
      </c>
      <c r="B337" s="46" t="s">
        <v>705</v>
      </c>
      <c r="C337" s="59" t="s">
        <v>611</v>
      </c>
      <c r="D337" s="44" t="s">
        <v>691</v>
      </c>
      <c r="E337" s="46" t="s">
        <v>57</v>
      </c>
      <c r="F337" s="46" t="n">
        <v>3</v>
      </c>
      <c r="G337" s="46" t="n">
        <v>1</v>
      </c>
      <c r="H337" s="46" t="s">
        <v>58</v>
      </c>
      <c r="I337" s="56" t="str">
        <f aca="false">A337</f>
        <v>A2.020.024</v>
      </c>
      <c r="J337" s="44"/>
      <c r="K337" s="46"/>
      <c r="L337" s="46"/>
      <c r="M337" s="60" t="n">
        <v>1</v>
      </c>
      <c r="N337" s="61" t="n">
        <v>1</v>
      </c>
      <c r="O337" s="61"/>
      <c r="P337" s="61" t="n">
        <v>1</v>
      </c>
      <c r="Q337" s="48" t="n">
        <v>0</v>
      </c>
      <c r="R337" s="61" t="n">
        <v>1</v>
      </c>
      <c r="S337" s="61" t="n">
        <v>0</v>
      </c>
      <c r="T337" s="61" t="n">
        <v>1</v>
      </c>
      <c r="U337" s="61" t="n">
        <v>1</v>
      </c>
      <c r="V337" s="61" t="n">
        <v>0</v>
      </c>
      <c r="W337" s="61" t="n">
        <v>0</v>
      </c>
      <c r="X337" s="61" t="n">
        <v>1</v>
      </c>
      <c r="Y337" s="61" t="n">
        <v>0</v>
      </c>
      <c r="Z337" s="61" t="n">
        <v>1</v>
      </c>
      <c r="AA337" s="61" t="n">
        <v>1</v>
      </c>
      <c r="AB337" s="61" t="n">
        <v>0</v>
      </c>
      <c r="AC337" s="61" t="n">
        <v>0</v>
      </c>
      <c r="AD337" s="62" t="n">
        <v>0</v>
      </c>
      <c r="AE337" s="28" t="n">
        <v>335</v>
      </c>
      <c r="AF337" s="50"/>
    </row>
    <row r="338" customFormat="false" ht="15" hidden="false" customHeight="true" outlineLevel="0" collapsed="false">
      <c r="A338" s="89"/>
      <c r="B338" s="90"/>
      <c r="C338" s="91"/>
      <c r="D338" s="92"/>
      <c r="E338" s="90"/>
      <c r="F338" s="90"/>
      <c r="G338" s="90"/>
      <c r="H338" s="90"/>
      <c r="I338" s="90"/>
      <c r="J338" s="92"/>
      <c r="K338" s="90"/>
      <c r="L338" s="90"/>
      <c r="M338" s="93"/>
      <c r="N338" s="90"/>
      <c r="O338" s="90"/>
      <c r="P338" s="90"/>
      <c r="Q338" s="26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4"/>
      <c r="AE338" s="28" t="n">
        <v>336</v>
      </c>
      <c r="AF338" s="95" t="s">
        <v>668</v>
      </c>
    </row>
    <row r="339" customFormat="false" ht="15" hidden="false" customHeight="true" outlineLevel="0" collapsed="false">
      <c r="A339" s="58" t="s">
        <v>706</v>
      </c>
      <c r="B339" s="46" t="s">
        <v>707</v>
      </c>
      <c r="C339" s="59" t="s">
        <v>611</v>
      </c>
      <c r="D339" s="63" t="s">
        <v>691</v>
      </c>
      <c r="E339" s="46" t="s">
        <v>57</v>
      </c>
      <c r="F339" s="46" t="n">
        <v>4</v>
      </c>
      <c r="G339" s="46" t="n">
        <v>2</v>
      </c>
      <c r="H339" s="46" t="s">
        <v>58</v>
      </c>
      <c r="I339" s="45" t="s">
        <v>67</v>
      </c>
      <c r="J339" s="63"/>
      <c r="K339" s="46"/>
      <c r="L339" s="46"/>
      <c r="M339" s="60" t="n">
        <v>1</v>
      </c>
      <c r="N339" s="61" t="n">
        <v>1</v>
      </c>
      <c r="O339" s="61"/>
      <c r="P339" s="61" t="n">
        <v>1</v>
      </c>
      <c r="Q339" s="48" t="n">
        <v>0</v>
      </c>
      <c r="R339" s="61" t="n">
        <v>1</v>
      </c>
      <c r="S339" s="61" t="n">
        <v>0</v>
      </c>
      <c r="T339" s="61" t="n">
        <v>1</v>
      </c>
      <c r="U339" s="61" t="n">
        <v>1</v>
      </c>
      <c r="V339" s="61" t="n">
        <v>0</v>
      </c>
      <c r="W339" s="61" t="n">
        <v>0</v>
      </c>
      <c r="X339" s="61" t="n">
        <v>2</v>
      </c>
      <c r="Y339" s="61" t="n">
        <v>0</v>
      </c>
      <c r="Z339" s="61" t="n">
        <v>1</v>
      </c>
      <c r="AA339" s="61" t="n">
        <v>1</v>
      </c>
      <c r="AB339" s="61" t="n">
        <v>0</v>
      </c>
      <c r="AC339" s="61" t="n">
        <v>0</v>
      </c>
      <c r="AD339" s="62" t="n">
        <v>0</v>
      </c>
      <c r="AE339" s="39" t="n">
        <v>337</v>
      </c>
      <c r="AF339" s="95" t="s">
        <v>671</v>
      </c>
    </row>
    <row r="340" customFormat="false" ht="15" hidden="false" customHeight="true" outlineLevel="0" collapsed="false">
      <c r="A340" s="58" t="s">
        <v>708</v>
      </c>
      <c r="B340" s="46" t="s">
        <v>709</v>
      </c>
      <c r="C340" s="59" t="s">
        <v>611</v>
      </c>
      <c r="D340" s="63" t="s">
        <v>691</v>
      </c>
      <c r="E340" s="46" t="s">
        <v>57</v>
      </c>
      <c r="F340" s="46" t="n">
        <v>6</v>
      </c>
      <c r="G340" s="46" t="n">
        <v>2</v>
      </c>
      <c r="H340" s="46" t="s">
        <v>58</v>
      </c>
      <c r="I340" s="56" t="str">
        <f aca="false">A340</f>
        <v>A2.030.026</v>
      </c>
      <c r="J340" s="63"/>
      <c r="K340" s="46"/>
      <c r="L340" s="46"/>
      <c r="M340" s="60" t="n">
        <v>1</v>
      </c>
      <c r="N340" s="61" t="n">
        <v>1</v>
      </c>
      <c r="O340" s="61"/>
      <c r="P340" s="61" t="n">
        <v>1</v>
      </c>
      <c r="Q340" s="48" t="n">
        <v>0</v>
      </c>
      <c r="R340" s="61" t="n">
        <v>1</v>
      </c>
      <c r="S340" s="61" t="n">
        <v>0</v>
      </c>
      <c r="T340" s="61" t="n">
        <v>1</v>
      </c>
      <c r="U340" s="61" t="n">
        <v>1</v>
      </c>
      <c r="V340" s="61" t="n">
        <v>0</v>
      </c>
      <c r="W340" s="61" t="n">
        <v>0</v>
      </c>
      <c r="X340" s="61" t="n">
        <v>1</v>
      </c>
      <c r="Y340" s="61" t="n">
        <v>0</v>
      </c>
      <c r="Z340" s="61" t="n">
        <v>2</v>
      </c>
      <c r="AA340" s="61" t="n">
        <v>1</v>
      </c>
      <c r="AB340" s="61" t="n">
        <v>0</v>
      </c>
      <c r="AC340" s="61" t="n">
        <v>0</v>
      </c>
      <c r="AD340" s="62" t="n">
        <v>0</v>
      </c>
      <c r="AE340" s="39" t="n">
        <v>338</v>
      </c>
      <c r="AF340" s="50"/>
    </row>
    <row r="341" customFormat="false" ht="15" hidden="false" customHeight="true" outlineLevel="0" collapsed="false">
      <c r="A341" s="58" t="s">
        <v>710</v>
      </c>
      <c r="B341" s="46" t="s">
        <v>711</v>
      </c>
      <c r="C341" s="59" t="s">
        <v>611</v>
      </c>
      <c r="D341" s="63" t="s">
        <v>691</v>
      </c>
      <c r="E341" s="46" t="s">
        <v>57</v>
      </c>
      <c r="F341" s="46" t="n">
        <v>4</v>
      </c>
      <c r="G341" s="46" t="n">
        <v>2</v>
      </c>
      <c r="H341" s="46" t="s">
        <v>58</v>
      </c>
      <c r="I341" s="56" t="str">
        <f aca="false">A341</f>
        <v>A2.030.036</v>
      </c>
      <c r="J341" s="63"/>
      <c r="K341" s="46"/>
      <c r="L341" s="46"/>
      <c r="M341" s="60" t="n">
        <v>1</v>
      </c>
      <c r="N341" s="61" t="n">
        <v>1</v>
      </c>
      <c r="O341" s="61"/>
      <c r="P341" s="61" t="n">
        <v>1</v>
      </c>
      <c r="Q341" s="48" t="n">
        <v>0</v>
      </c>
      <c r="R341" s="61" t="n">
        <v>1</v>
      </c>
      <c r="S341" s="61" t="n">
        <v>0</v>
      </c>
      <c r="T341" s="61" t="n">
        <v>1</v>
      </c>
      <c r="U341" s="61" t="n">
        <v>1</v>
      </c>
      <c r="V341" s="61" t="n">
        <v>0</v>
      </c>
      <c r="W341" s="61" t="n">
        <v>0</v>
      </c>
      <c r="X341" s="61" t="n">
        <v>1</v>
      </c>
      <c r="Y341" s="61" t="n">
        <v>0</v>
      </c>
      <c r="Z341" s="61" t="n">
        <v>1</v>
      </c>
      <c r="AA341" s="61" t="n">
        <v>1</v>
      </c>
      <c r="AB341" s="61" t="n">
        <v>0</v>
      </c>
      <c r="AC341" s="61" t="n">
        <v>0</v>
      </c>
      <c r="AD341" s="62" t="n">
        <v>0</v>
      </c>
      <c r="AE341" s="39" t="n">
        <v>339</v>
      </c>
      <c r="AF341" s="50"/>
    </row>
    <row r="342" customFormat="false" ht="15" hidden="false" customHeight="true" outlineLevel="0" collapsed="false">
      <c r="A342" s="58" t="s">
        <v>712</v>
      </c>
      <c r="B342" s="46" t="s">
        <v>713</v>
      </c>
      <c r="C342" s="59" t="s">
        <v>611</v>
      </c>
      <c r="D342" s="63" t="s">
        <v>691</v>
      </c>
      <c r="E342" s="46" t="s">
        <v>57</v>
      </c>
      <c r="F342" s="46" t="n">
        <v>5</v>
      </c>
      <c r="G342" s="46" t="n">
        <v>2</v>
      </c>
      <c r="H342" s="46" t="s">
        <v>58</v>
      </c>
      <c r="I342" s="56" t="str">
        <f aca="false">A342</f>
        <v>A2.030.037</v>
      </c>
      <c r="J342" s="63"/>
      <c r="K342" s="46"/>
      <c r="L342" s="46"/>
      <c r="M342" s="60" t="n">
        <v>1</v>
      </c>
      <c r="N342" s="61" t="n">
        <v>1</v>
      </c>
      <c r="O342" s="61"/>
      <c r="P342" s="61" t="n">
        <v>1</v>
      </c>
      <c r="Q342" s="48" t="n">
        <v>0</v>
      </c>
      <c r="R342" s="61" t="n">
        <v>1</v>
      </c>
      <c r="S342" s="61" t="n">
        <v>0</v>
      </c>
      <c r="T342" s="61" t="n">
        <v>1</v>
      </c>
      <c r="U342" s="61" t="n">
        <v>1</v>
      </c>
      <c r="V342" s="61" t="n">
        <v>0</v>
      </c>
      <c r="W342" s="61" t="n">
        <v>0</v>
      </c>
      <c r="X342" s="61" t="n">
        <v>1</v>
      </c>
      <c r="Y342" s="61" t="n">
        <v>0</v>
      </c>
      <c r="Z342" s="61" t="n">
        <v>1</v>
      </c>
      <c r="AA342" s="61" t="n">
        <v>1</v>
      </c>
      <c r="AB342" s="61" t="n">
        <v>0</v>
      </c>
      <c r="AC342" s="61" t="n">
        <v>0</v>
      </c>
      <c r="AD342" s="62" t="n">
        <v>0</v>
      </c>
      <c r="AE342" s="28" t="n">
        <v>340</v>
      </c>
      <c r="AF342" s="50"/>
    </row>
    <row r="343" customFormat="false" ht="14.15" hidden="false" customHeight="false" outlineLevel="0" collapsed="false">
      <c r="A343" s="58" t="s">
        <v>714</v>
      </c>
      <c r="B343" s="46" t="s">
        <v>715</v>
      </c>
      <c r="C343" s="59" t="s">
        <v>611</v>
      </c>
      <c r="D343" s="63" t="s">
        <v>691</v>
      </c>
      <c r="E343" s="46" t="s">
        <v>57</v>
      </c>
      <c r="F343" s="46" t="n">
        <v>5</v>
      </c>
      <c r="G343" s="46" t="n">
        <v>2</v>
      </c>
      <c r="H343" s="46" t="s">
        <v>58</v>
      </c>
      <c r="I343" s="56" t="str">
        <f aca="false">A343</f>
        <v>A2.030.042</v>
      </c>
      <c r="J343" s="63"/>
      <c r="K343" s="46"/>
      <c r="L343" s="46"/>
      <c r="M343" s="60" t="n">
        <v>1</v>
      </c>
      <c r="N343" s="61" t="n">
        <v>1</v>
      </c>
      <c r="O343" s="61"/>
      <c r="P343" s="61" t="n">
        <v>1</v>
      </c>
      <c r="Q343" s="48" t="n">
        <v>0</v>
      </c>
      <c r="R343" s="61" t="n">
        <v>1</v>
      </c>
      <c r="S343" s="61" t="n">
        <v>0</v>
      </c>
      <c r="T343" s="61" t="n">
        <v>1</v>
      </c>
      <c r="U343" s="61" t="n">
        <v>1</v>
      </c>
      <c r="V343" s="61" t="n">
        <v>0</v>
      </c>
      <c r="W343" s="61" t="n">
        <v>0</v>
      </c>
      <c r="X343" s="61" t="n">
        <v>3</v>
      </c>
      <c r="Y343" s="61" t="n">
        <v>0</v>
      </c>
      <c r="Z343" s="61" t="n">
        <v>1</v>
      </c>
      <c r="AA343" s="61" t="n">
        <v>1</v>
      </c>
      <c r="AB343" s="61" t="n">
        <v>0</v>
      </c>
      <c r="AC343" s="61" t="n">
        <v>0</v>
      </c>
      <c r="AD343" s="62" t="n">
        <v>0</v>
      </c>
      <c r="AE343" s="28" t="n">
        <v>341</v>
      </c>
      <c r="AF343" s="50"/>
    </row>
    <row r="344" customFormat="false" ht="14.15" hidden="false" customHeight="false" outlineLevel="0" collapsed="false">
      <c r="A344" s="58" t="s">
        <v>252</v>
      </c>
      <c r="B344" s="46" t="s">
        <v>716</v>
      </c>
      <c r="C344" s="59" t="s">
        <v>611</v>
      </c>
      <c r="D344" s="63" t="s">
        <v>691</v>
      </c>
      <c r="E344" s="46" t="s">
        <v>71</v>
      </c>
      <c r="F344" s="46" t="n">
        <v>2</v>
      </c>
      <c r="G344" s="46" t="n">
        <v>1</v>
      </c>
      <c r="H344" s="46" t="s">
        <v>72</v>
      </c>
      <c r="I344" s="56" t="str">
        <f aca="false">A344</f>
        <v>S1.020.102</v>
      </c>
      <c r="J344" s="63"/>
      <c r="K344" s="46"/>
      <c r="L344" s="46"/>
      <c r="M344" s="60" t="n">
        <v>1</v>
      </c>
      <c r="N344" s="61" t="n">
        <v>1</v>
      </c>
      <c r="O344" s="61"/>
      <c r="P344" s="61" t="n">
        <v>1</v>
      </c>
      <c r="Q344" s="48" t="n">
        <v>0</v>
      </c>
      <c r="R344" s="61" t="n">
        <v>2</v>
      </c>
      <c r="S344" s="61" t="n">
        <v>0</v>
      </c>
      <c r="T344" s="61" t="n">
        <v>1</v>
      </c>
      <c r="U344" s="61" t="n">
        <v>1</v>
      </c>
      <c r="V344" s="61" t="n">
        <v>0</v>
      </c>
      <c r="W344" s="61" t="n">
        <v>0</v>
      </c>
      <c r="X344" s="61" t="n">
        <v>1</v>
      </c>
      <c r="Y344" s="61" t="n">
        <v>0</v>
      </c>
      <c r="Z344" s="61" t="n">
        <v>2</v>
      </c>
      <c r="AA344" s="61" t="n">
        <v>1</v>
      </c>
      <c r="AB344" s="61" t="n">
        <v>0</v>
      </c>
      <c r="AC344" s="61" t="n">
        <v>0</v>
      </c>
      <c r="AD344" s="62" t="n">
        <v>0</v>
      </c>
      <c r="AE344" s="39" t="n">
        <v>342</v>
      </c>
      <c r="AF344" s="50"/>
    </row>
    <row r="345" customFormat="false" ht="14.15" hidden="false" customHeight="false" outlineLevel="0" collapsed="false">
      <c r="A345" s="58" t="s">
        <v>717</v>
      </c>
      <c r="B345" s="46" t="s">
        <v>718</v>
      </c>
      <c r="C345" s="59" t="s">
        <v>611</v>
      </c>
      <c r="D345" s="63" t="s">
        <v>691</v>
      </c>
      <c r="E345" s="46" t="s">
        <v>71</v>
      </c>
      <c r="F345" s="46" t="n">
        <v>2</v>
      </c>
      <c r="G345" s="46" t="n">
        <v>1</v>
      </c>
      <c r="H345" s="46" t="s">
        <v>72</v>
      </c>
      <c r="I345" s="56" t="str">
        <f aca="false">A345</f>
        <v>S1.020.118</v>
      </c>
      <c r="J345" s="63"/>
      <c r="K345" s="46"/>
      <c r="L345" s="46"/>
      <c r="M345" s="60" t="n">
        <v>1</v>
      </c>
      <c r="N345" s="61" t="n">
        <v>1</v>
      </c>
      <c r="O345" s="61"/>
      <c r="P345" s="61" t="n">
        <v>1</v>
      </c>
      <c r="Q345" s="48" t="n">
        <v>0</v>
      </c>
      <c r="R345" s="61" t="n">
        <v>1</v>
      </c>
      <c r="S345" s="61" t="n">
        <v>0</v>
      </c>
      <c r="T345" s="61" t="n">
        <v>1</v>
      </c>
      <c r="U345" s="61" t="n">
        <v>1</v>
      </c>
      <c r="V345" s="61" t="n">
        <v>0</v>
      </c>
      <c r="W345" s="61" t="n">
        <v>0</v>
      </c>
      <c r="X345" s="61" t="n">
        <v>1</v>
      </c>
      <c r="Y345" s="61" t="n">
        <v>0</v>
      </c>
      <c r="Z345" s="61" t="n">
        <v>1</v>
      </c>
      <c r="AA345" s="61" t="n">
        <v>1</v>
      </c>
      <c r="AB345" s="61" t="n">
        <v>0</v>
      </c>
      <c r="AC345" s="61" t="n">
        <v>0</v>
      </c>
      <c r="AD345" s="62" t="n">
        <v>0</v>
      </c>
      <c r="AE345" s="39" t="n">
        <v>343</v>
      </c>
      <c r="AF345" s="50"/>
    </row>
    <row r="346" customFormat="false" ht="15" hidden="false" customHeight="true" outlineLevel="0" collapsed="false">
      <c r="A346" s="58" t="s">
        <v>719</v>
      </c>
      <c r="B346" s="46" t="s">
        <v>720</v>
      </c>
      <c r="C346" s="59" t="s">
        <v>611</v>
      </c>
      <c r="D346" s="63" t="s">
        <v>691</v>
      </c>
      <c r="E346" s="46" t="s">
        <v>71</v>
      </c>
      <c r="F346" s="46" t="n">
        <v>4</v>
      </c>
      <c r="G346" s="46" t="n">
        <v>1</v>
      </c>
      <c r="H346" s="46" t="s">
        <v>72</v>
      </c>
      <c r="I346" s="45" t="s">
        <v>721</v>
      </c>
      <c r="J346" s="63"/>
      <c r="K346" s="46"/>
      <c r="L346" s="46"/>
      <c r="M346" s="60" t="n">
        <v>1</v>
      </c>
      <c r="N346" s="61" t="n">
        <v>1</v>
      </c>
      <c r="O346" s="61"/>
      <c r="P346" s="61" t="n">
        <v>1</v>
      </c>
      <c r="Q346" s="48" t="n">
        <v>0</v>
      </c>
      <c r="R346" s="61" t="n">
        <v>2</v>
      </c>
      <c r="S346" s="61" t="n">
        <v>0</v>
      </c>
      <c r="T346" s="61" t="n">
        <v>1</v>
      </c>
      <c r="U346" s="61" t="n">
        <v>1</v>
      </c>
      <c r="V346" s="61" t="n">
        <v>0</v>
      </c>
      <c r="W346" s="61" t="n">
        <v>0</v>
      </c>
      <c r="X346" s="61" t="n">
        <v>4</v>
      </c>
      <c r="Y346" s="61" t="n">
        <v>0</v>
      </c>
      <c r="Z346" s="61" t="n">
        <v>2</v>
      </c>
      <c r="AA346" s="61" t="n">
        <v>1</v>
      </c>
      <c r="AB346" s="61" t="n">
        <v>0</v>
      </c>
      <c r="AC346" s="61" t="n">
        <v>0</v>
      </c>
      <c r="AD346" s="62" t="n">
        <v>0</v>
      </c>
      <c r="AE346" s="39" t="n">
        <v>344</v>
      </c>
      <c r="AF346" s="50"/>
    </row>
    <row r="347" customFormat="false" ht="15" hidden="false" customHeight="true" outlineLevel="0" collapsed="false">
      <c r="A347" s="58" t="s">
        <v>722</v>
      </c>
      <c r="B347" s="46" t="s">
        <v>723</v>
      </c>
      <c r="C347" s="59" t="s">
        <v>611</v>
      </c>
      <c r="D347" s="63" t="s">
        <v>691</v>
      </c>
      <c r="E347" s="46" t="s">
        <v>71</v>
      </c>
      <c r="F347" s="46" t="n">
        <v>4</v>
      </c>
      <c r="G347" s="46" t="n">
        <v>1</v>
      </c>
      <c r="H347" s="46" t="s">
        <v>72</v>
      </c>
      <c r="I347" s="56" t="str">
        <f aca="false">A347</f>
        <v>S1.030.108</v>
      </c>
      <c r="J347" s="63"/>
      <c r="K347" s="46"/>
      <c r="L347" s="46"/>
      <c r="M347" s="60" t="n">
        <v>1</v>
      </c>
      <c r="N347" s="61" t="n">
        <v>1</v>
      </c>
      <c r="O347" s="61"/>
      <c r="P347" s="61" t="n">
        <v>1</v>
      </c>
      <c r="Q347" s="48" t="n">
        <v>0</v>
      </c>
      <c r="R347" s="61" t="n">
        <v>1</v>
      </c>
      <c r="S347" s="61" t="n">
        <v>0</v>
      </c>
      <c r="T347" s="61" t="n">
        <v>1</v>
      </c>
      <c r="U347" s="61" t="n">
        <v>1</v>
      </c>
      <c r="V347" s="61" t="n">
        <v>0</v>
      </c>
      <c r="W347" s="61" t="n">
        <v>0</v>
      </c>
      <c r="X347" s="61" t="n">
        <v>1</v>
      </c>
      <c r="Y347" s="61" t="n">
        <v>0</v>
      </c>
      <c r="Z347" s="61" t="n">
        <v>1</v>
      </c>
      <c r="AA347" s="61" t="n">
        <v>1</v>
      </c>
      <c r="AB347" s="61" t="n">
        <v>0</v>
      </c>
      <c r="AC347" s="61" t="n">
        <v>0</v>
      </c>
      <c r="AD347" s="62" t="n">
        <v>0</v>
      </c>
      <c r="AE347" s="28" t="n">
        <v>345</v>
      </c>
      <c r="AF347" s="50"/>
    </row>
    <row r="348" customFormat="false" ht="14.15" hidden="false" customHeight="false" outlineLevel="0" collapsed="false">
      <c r="A348" s="58" t="s">
        <v>724</v>
      </c>
      <c r="B348" s="46" t="s">
        <v>725</v>
      </c>
      <c r="C348" s="59" t="s">
        <v>611</v>
      </c>
      <c r="D348" s="63" t="s">
        <v>691</v>
      </c>
      <c r="E348" s="46" t="s">
        <v>71</v>
      </c>
      <c r="F348" s="46" t="n">
        <v>4</v>
      </c>
      <c r="G348" s="46" t="n">
        <v>1</v>
      </c>
      <c r="H348" s="46" t="s">
        <v>72</v>
      </c>
      <c r="I348" s="56" t="str">
        <f aca="false">A348</f>
        <v>S1.030.109</v>
      </c>
      <c r="J348" s="63"/>
      <c r="K348" s="46"/>
      <c r="L348" s="46"/>
      <c r="M348" s="60" t="n">
        <v>1</v>
      </c>
      <c r="N348" s="61" t="n">
        <v>1</v>
      </c>
      <c r="O348" s="61"/>
      <c r="P348" s="61" t="n">
        <v>1</v>
      </c>
      <c r="Q348" s="48" t="n">
        <v>0</v>
      </c>
      <c r="R348" s="61" t="n">
        <v>1</v>
      </c>
      <c r="S348" s="61" t="n">
        <v>0</v>
      </c>
      <c r="T348" s="61" t="n">
        <v>1</v>
      </c>
      <c r="U348" s="61" t="n">
        <v>1</v>
      </c>
      <c r="V348" s="61" t="n">
        <v>0</v>
      </c>
      <c r="W348" s="61" t="n">
        <v>0</v>
      </c>
      <c r="X348" s="61" t="n">
        <v>1</v>
      </c>
      <c r="Y348" s="61" t="n">
        <v>0</v>
      </c>
      <c r="Z348" s="61" t="n">
        <v>1</v>
      </c>
      <c r="AA348" s="61" t="n">
        <v>1</v>
      </c>
      <c r="AB348" s="61" t="n">
        <v>0</v>
      </c>
      <c r="AC348" s="61" t="n">
        <v>0</v>
      </c>
      <c r="AD348" s="62" t="n">
        <v>0</v>
      </c>
      <c r="AE348" s="28" t="n">
        <v>346</v>
      </c>
      <c r="AF348" s="50"/>
    </row>
    <row r="349" customFormat="false" ht="15" hidden="false" customHeight="true" outlineLevel="0" collapsed="false">
      <c r="A349" s="58" t="s">
        <v>726</v>
      </c>
      <c r="B349" s="46" t="s">
        <v>727</v>
      </c>
      <c r="C349" s="59" t="s">
        <v>611</v>
      </c>
      <c r="D349" s="63" t="s">
        <v>691</v>
      </c>
      <c r="E349" s="46" t="s">
        <v>83</v>
      </c>
      <c r="F349" s="46" t="n">
        <v>2</v>
      </c>
      <c r="G349" s="46" t="n">
        <v>1</v>
      </c>
      <c r="H349" s="46" t="s">
        <v>84</v>
      </c>
      <c r="I349" s="56" t="str">
        <f aca="false">A349</f>
        <v>S2.020.202</v>
      </c>
      <c r="J349" s="63"/>
      <c r="K349" s="46"/>
      <c r="L349" s="46"/>
      <c r="M349" s="60" t="n">
        <v>1</v>
      </c>
      <c r="N349" s="61" t="n">
        <v>1</v>
      </c>
      <c r="O349" s="61"/>
      <c r="P349" s="61" t="n">
        <v>1</v>
      </c>
      <c r="Q349" s="48" t="n">
        <v>0</v>
      </c>
      <c r="R349" s="61" t="n">
        <v>2</v>
      </c>
      <c r="S349" s="61" t="n">
        <v>0</v>
      </c>
      <c r="T349" s="61" t="n">
        <v>1</v>
      </c>
      <c r="U349" s="61" t="n">
        <v>1</v>
      </c>
      <c r="V349" s="61" t="n">
        <v>0</v>
      </c>
      <c r="W349" s="61" t="n">
        <v>0</v>
      </c>
      <c r="X349" s="61" t="n">
        <v>1</v>
      </c>
      <c r="Y349" s="61" t="n">
        <v>0</v>
      </c>
      <c r="Z349" s="61" t="n">
        <v>2</v>
      </c>
      <c r="AA349" s="61" t="n">
        <v>1</v>
      </c>
      <c r="AB349" s="61" t="n">
        <v>0</v>
      </c>
      <c r="AC349" s="61" t="n">
        <v>0</v>
      </c>
      <c r="AD349" s="62" t="n">
        <v>0</v>
      </c>
      <c r="AE349" s="39" t="n">
        <v>347</v>
      </c>
      <c r="AF349" s="50"/>
    </row>
    <row r="350" customFormat="false" ht="15" hidden="false" customHeight="true" outlineLevel="0" collapsed="false">
      <c r="A350" s="58" t="s">
        <v>728</v>
      </c>
      <c r="B350" s="46" t="s">
        <v>729</v>
      </c>
      <c r="C350" s="59" t="s">
        <v>611</v>
      </c>
      <c r="D350" s="63" t="s">
        <v>691</v>
      </c>
      <c r="E350" s="46" t="s">
        <v>83</v>
      </c>
      <c r="F350" s="46" t="n">
        <v>2</v>
      </c>
      <c r="G350" s="46" t="n">
        <v>1</v>
      </c>
      <c r="H350" s="46" t="s">
        <v>84</v>
      </c>
      <c r="I350" s="56" t="str">
        <f aca="false">A350</f>
        <v>S2.020.218</v>
      </c>
      <c r="J350" s="63"/>
      <c r="K350" s="46"/>
      <c r="L350" s="46"/>
      <c r="M350" s="60" t="n">
        <v>1</v>
      </c>
      <c r="N350" s="61" t="n">
        <v>1</v>
      </c>
      <c r="O350" s="61"/>
      <c r="P350" s="61" t="n">
        <v>1</v>
      </c>
      <c r="Q350" s="48" t="n">
        <v>0</v>
      </c>
      <c r="R350" s="61" t="n">
        <v>1</v>
      </c>
      <c r="S350" s="61" t="n">
        <v>0</v>
      </c>
      <c r="T350" s="61" t="n">
        <v>1</v>
      </c>
      <c r="U350" s="61" t="n">
        <v>1</v>
      </c>
      <c r="V350" s="61" t="n">
        <v>0</v>
      </c>
      <c r="W350" s="61" t="n">
        <v>0</v>
      </c>
      <c r="X350" s="61" t="n">
        <v>1</v>
      </c>
      <c r="Y350" s="61" t="n">
        <v>0</v>
      </c>
      <c r="Z350" s="61" t="n">
        <v>1</v>
      </c>
      <c r="AA350" s="61" t="n">
        <v>1</v>
      </c>
      <c r="AB350" s="61" t="n">
        <v>0</v>
      </c>
      <c r="AC350" s="61" t="n">
        <v>0</v>
      </c>
      <c r="AD350" s="62" t="n">
        <v>0</v>
      </c>
      <c r="AE350" s="39" t="n">
        <v>348</v>
      </c>
      <c r="AF350" s="50"/>
    </row>
    <row r="351" customFormat="false" ht="15" hidden="false" customHeight="true" outlineLevel="0" collapsed="false">
      <c r="A351" s="58" t="s">
        <v>730</v>
      </c>
      <c r="B351" s="101" t="s">
        <v>731</v>
      </c>
      <c r="C351" s="59" t="s">
        <v>611</v>
      </c>
      <c r="D351" s="63" t="s">
        <v>691</v>
      </c>
      <c r="E351" s="46" t="s">
        <v>83</v>
      </c>
      <c r="F351" s="46" t="n">
        <v>4</v>
      </c>
      <c r="G351" s="46" t="n">
        <v>1</v>
      </c>
      <c r="H351" s="46" t="s">
        <v>84</v>
      </c>
      <c r="I351" s="45" t="s">
        <v>297</v>
      </c>
      <c r="J351" s="63"/>
      <c r="K351" s="46"/>
      <c r="L351" s="46"/>
      <c r="M351" s="60" t="n">
        <v>1</v>
      </c>
      <c r="N351" s="61" t="n">
        <v>1</v>
      </c>
      <c r="O351" s="61"/>
      <c r="P351" s="61" t="n">
        <v>1</v>
      </c>
      <c r="Q351" s="48" t="n">
        <v>0</v>
      </c>
      <c r="R351" s="61" t="n">
        <v>2</v>
      </c>
      <c r="S351" s="61" t="n">
        <v>0</v>
      </c>
      <c r="T351" s="61" t="n">
        <v>1</v>
      </c>
      <c r="U351" s="61" t="n">
        <v>1</v>
      </c>
      <c r="V351" s="61" t="n">
        <v>0</v>
      </c>
      <c r="W351" s="61" t="n">
        <v>0</v>
      </c>
      <c r="X351" s="61" t="n">
        <v>4</v>
      </c>
      <c r="Y351" s="61" t="n">
        <v>0</v>
      </c>
      <c r="Z351" s="61" t="n">
        <v>2</v>
      </c>
      <c r="AA351" s="61" t="n">
        <v>1</v>
      </c>
      <c r="AB351" s="61" t="n">
        <v>0</v>
      </c>
      <c r="AC351" s="61" t="n">
        <v>0</v>
      </c>
      <c r="AD351" s="62" t="n">
        <v>0</v>
      </c>
      <c r="AE351" s="39" t="n">
        <v>349</v>
      </c>
      <c r="AF351" s="50"/>
    </row>
    <row r="352" customFormat="false" ht="15" hidden="false" customHeight="true" outlineLevel="0" collapsed="false">
      <c r="A352" s="58" t="s">
        <v>732</v>
      </c>
      <c r="B352" s="46" t="s">
        <v>733</v>
      </c>
      <c r="C352" s="59" t="s">
        <v>611</v>
      </c>
      <c r="D352" s="63" t="s">
        <v>691</v>
      </c>
      <c r="E352" s="46" t="s">
        <v>83</v>
      </c>
      <c r="F352" s="46" t="n">
        <v>4</v>
      </c>
      <c r="G352" s="46" t="n">
        <v>1</v>
      </c>
      <c r="H352" s="46" t="s">
        <v>84</v>
      </c>
      <c r="I352" s="56" t="str">
        <f aca="false">A352</f>
        <v>S2.030.208</v>
      </c>
      <c r="J352" s="63"/>
      <c r="K352" s="46"/>
      <c r="L352" s="46"/>
      <c r="M352" s="60" t="n">
        <v>1</v>
      </c>
      <c r="N352" s="61" t="n">
        <v>1</v>
      </c>
      <c r="O352" s="61"/>
      <c r="P352" s="61" t="n">
        <v>1</v>
      </c>
      <c r="Q352" s="48" t="n">
        <v>0</v>
      </c>
      <c r="R352" s="61" t="n">
        <v>1</v>
      </c>
      <c r="S352" s="61" t="n">
        <v>0</v>
      </c>
      <c r="T352" s="61" t="n">
        <v>1</v>
      </c>
      <c r="U352" s="61" t="n">
        <v>1</v>
      </c>
      <c r="V352" s="61" t="n">
        <v>0</v>
      </c>
      <c r="W352" s="61" t="n">
        <v>0</v>
      </c>
      <c r="X352" s="61" t="n">
        <v>1</v>
      </c>
      <c r="Y352" s="61" t="n">
        <v>0</v>
      </c>
      <c r="Z352" s="61" t="n">
        <v>1</v>
      </c>
      <c r="AA352" s="61" t="n">
        <v>1</v>
      </c>
      <c r="AB352" s="61" t="n">
        <v>0</v>
      </c>
      <c r="AC352" s="61" t="n">
        <v>0</v>
      </c>
      <c r="AD352" s="62" t="n">
        <v>0</v>
      </c>
      <c r="AE352" s="28" t="n">
        <v>350</v>
      </c>
      <c r="AF352" s="50"/>
    </row>
    <row r="353" customFormat="false" ht="15" hidden="false" customHeight="true" outlineLevel="0" collapsed="false">
      <c r="A353" s="58" t="s">
        <v>734</v>
      </c>
      <c r="B353" s="46" t="s">
        <v>735</v>
      </c>
      <c r="C353" s="59" t="s">
        <v>611</v>
      </c>
      <c r="D353" s="63" t="s">
        <v>691</v>
      </c>
      <c r="E353" s="46" t="s">
        <v>83</v>
      </c>
      <c r="F353" s="46" t="n">
        <v>4</v>
      </c>
      <c r="G353" s="46" t="n">
        <v>1</v>
      </c>
      <c r="H353" s="46" t="s">
        <v>84</v>
      </c>
      <c r="I353" s="56" t="str">
        <f aca="false">A353</f>
        <v>S2.030.209</v>
      </c>
      <c r="J353" s="63"/>
      <c r="K353" s="46"/>
      <c r="L353" s="46"/>
      <c r="M353" s="60" t="n">
        <v>1</v>
      </c>
      <c r="N353" s="61" t="n">
        <v>1</v>
      </c>
      <c r="O353" s="61"/>
      <c r="P353" s="61" t="n">
        <v>1</v>
      </c>
      <c r="Q353" s="48" t="n">
        <v>0</v>
      </c>
      <c r="R353" s="61" t="n">
        <v>1</v>
      </c>
      <c r="S353" s="61" t="n">
        <v>0</v>
      </c>
      <c r="T353" s="61" t="n">
        <v>1</v>
      </c>
      <c r="U353" s="61" t="n">
        <v>1</v>
      </c>
      <c r="V353" s="61" t="n">
        <v>0</v>
      </c>
      <c r="W353" s="61" t="n">
        <v>0</v>
      </c>
      <c r="X353" s="61" t="n">
        <v>1</v>
      </c>
      <c r="Y353" s="61" t="n">
        <v>0</v>
      </c>
      <c r="Z353" s="61" t="n">
        <v>1</v>
      </c>
      <c r="AA353" s="61" t="n">
        <v>1</v>
      </c>
      <c r="AB353" s="61" t="n">
        <v>0</v>
      </c>
      <c r="AC353" s="61" t="n">
        <v>0</v>
      </c>
      <c r="AD353" s="62" t="n">
        <v>0</v>
      </c>
      <c r="AE353" s="28" t="n">
        <v>351</v>
      </c>
      <c r="AF353" s="50"/>
    </row>
    <row r="354" customFormat="false" ht="15" hidden="false" customHeight="true" outlineLevel="0" collapsed="false">
      <c r="A354" s="58" t="s">
        <v>303</v>
      </c>
      <c r="B354" s="64" t="s">
        <v>736</v>
      </c>
      <c r="C354" s="59" t="s">
        <v>611</v>
      </c>
      <c r="D354" s="63" t="s">
        <v>691</v>
      </c>
      <c r="E354" s="46" t="s">
        <v>95</v>
      </c>
      <c r="F354" s="46" t="n">
        <v>2</v>
      </c>
      <c r="G354" s="46" t="n">
        <v>1</v>
      </c>
      <c r="H354" s="46" t="s">
        <v>96</v>
      </c>
      <c r="I354" s="56" t="str">
        <f aca="false">A354</f>
        <v>S3.020.302</v>
      </c>
      <c r="J354" s="63"/>
      <c r="K354" s="46"/>
      <c r="L354" s="46"/>
      <c r="M354" s="60" t="n">
        <v>1</v>
      </c>
      <c r="N354" s="61" t="n">
        <v>1</v>
      </c>
      <c r="O354" s="61"/>
      <c r="P354" s="61" t="n">
        <v>1</v>
      </c>
      <c r="Q354" s="48" t="n">
        <v>0</v>
      </c>
      <c r="R354" s="61" t="n">
        <v>2</v>
      </c>
      <c r="S354" s="61" t="n">
        <v>0</v>
      </c>
      <c r="T354" s="61" t="n">
        <v>1</v>
      </c>
      <c r="U354" s="61" t="n">
        <v>1</v>
      </c>
      <c r="V354" s="61" t="n">
        <v>0</v>
      </c>
      <c r="W354" s="61" t="n">
        <v>0</v>
      </c>
      <c r="X354" s="61" t="n">
        <v>1</v>
      </c>
      <c r="Y354" s="61" t="n">
        <v>0</v>
      </c>
      <c r="Z354" s="61" t="n">
        <v>2</v>
      </c>
      <c r="AA354" s="61" t="n">
        <v>1</v>
      </c>
      <c r="AB354" s="61" t="n">
        <v>0</v>
      </c>
      <c r="AC354" s="61" t="n">
        <v>0</v>
      </c>
      <c r="AD354" s="62" t="n">
        <v>0</v>
      </c>
      <c r="AE354" s="39" t="n">
        <v>352</v>
      </c>
      <c r="AF354" s="50"/>
    </row>
    <row r="355" customFormat="false" ht="15" hidden="false" customHeight="true" outlineLevel="0" collapsed="false">
      <c r="A355" s="58" t="s">
        <v>737</v>
      </c>
      <c r="B355" s="64" t="s">
        <v>738</v>
      </c>
      <c r="C355" s="59" t="s">
        <v>611</v>
      </c>
      <c r="D355" s="63" t="s">
        <v>691</v>
      </c>
      <c r="E355" s="46" t="s">
        <v>95</v>
      </c>
      <c r="F355" s="46" t="n">
        <v>2</v>
      </c>
      <c r="G355" s="46" t="n">
        <v>1</v>
      </c>
      <c r="H355" s="46" t="s">
        <v>96</v>
      </c>
      <c r="I355" s="56" t="str">
        <f aca="false">A355</f>
        <v>S3.020.318</v>
      </c>
      <c r="J355" s="63"/>
      <c r="K355" s="46"/>
      <c r="L355" s="46"/>
      <c r="M355" s="60" t="n">
        <v>1</v>
      </c>
      <c r="N355" s="61" t="n">
        <v>1</v>
      </c>
      <c r="O355" s="61"/>
      <c r="P355" s="61" t="n">
        <v>1</v>
      </c>
      <c r="Q355" s="48" t="n">
        <v>0</v>
      </c>
      <c r="R355" s="61" t="n">
        <v>1</v>
      </c>
      <c r="S355" s="61" t="n">
        <v>0</v>
      </c>
      <c r="T355" s="61" t="n">
        <v>1</v>
      </c>
      <c r="U355" s="61" t="n">
        <v>1</v>
      </c>
      <c r="V355" s="61" t="n">
        <v>0</v>
      </c>
      <c r="W355" s="61" t="n">
        <v>0</v>
      </c>
      <c r="X355" s="61" t="n">
        <v>1</v>
      </c>
      <c r="Y355" s="61" t="n">
        <v>0</v>
      </c>
      <c r="Z355" s="61" t="n">
        <v>1</v>
      </c>
      <c r="AA355" s="61" t="n">
        <v>1</v>
      </c>
      <c r="AB355" s="61" t="n">
        <v>0</v>
      </c>
      <c r="AC355" s="61" t="n">
        <v>0</v>
      </c>
      <c r="AD355" s="62" t="n">
        <v>0</v>
      </c>
      <c r="AE355" s="39" t="n">
        <v>353</v>
      </c>
      <c r="AF355" s="50"/>
    </row>
    <row r="356" customFormat="false" ht="15" hidden="false" customHeight="true" outlineLevel="0" collapsed="false">
      <c r="A356" s="58" t="s">
        <v>739</v>
      </c>
      <c r="B356" s="64" t="s">
        <v>740</v>
      </c>
      <c r="C356" s="59" t="s">
        <v>611</v>
      </c>
      <c r="D356" s="63" t="s">
        <v>691</v>
      </c>
      <c r="E356" s="46" t="s">
        <v>95</v>
      </c>
      <c r="F356" s="46" t="n">
        <v>4</v>
      </c>
      <c r="G356" s="46" t="n">
        <v>1</v>
      </c>
      <c r="H356" s="46" t="s">
        <v>96</v>
      </c>
      <c r="I356" s="45" t="s">
        <v>330</v>
      </c>
      <c r="J356" s="63"/>
      <c r="K356" s="46"/>
      <c r="L356" s="46"/>
      <c r="M356" s="60" t="n">
        <v>1</v>
      </c>
      <c r="N356" s="61" t="n">
        <v>1</v>
      </c>
      <c r="O356" s="61"/>
      <c r="P356" s="61" t="n">
        <v>1</v>
      </c>
      <c r="Q356" s="48" t="n">
        <v>0</v>
      </c>
      <c r="R356" s="61" t="n">
        <v>2</v>
      </c>
      <c r="S356" s="61" t="n">
        <v>0</v>
      </c>
      <c r="T356" s="61" t="n">
        <v>1</v>
      </c>
      <c r="U356" s="61" t="n">
        <v>1</v>
      </c>
      <c r="V356" s="61" t="n">
        <v>0</v>
      </c>
      <c r="W356" s="61" t="n">
        <v>0</v>
      </c>
      <c r="X356" s="61" t="n">
        <v>4</v>
      </c>
      <c r="Y356" s="61" t="n">
        <v>0</v>
      </c>
      <c r="Z356" s="61" t="n">
        <v>2</v>
      </c>
      <c r="AA356" s="61" t="n">
        <v>1</v>
      </c>
      <c r="AB356" s="61" t="n">
        <v>0</v>
      </c>
      <c r="AC356" s="61" t="n">
        <v>0</v>
      </c>
      <c r="AD356" s="62" t="n">
        <v>0</v>
      </c>
      <c r="AE356" s="39" t="n">
        <v>354</v>
      </c>
      <c r="AF356" s="50"/>
    </row>
    <row r="357" customFormat="false" ht="15" hidden="false" customHeight="true" outlineLevel="0" collapsed="false">
      <c r="A357" s="58" t="s">
        <v>741</v>
      </c>
      <c r="B357" s="64" t="s">
        <v>742</v>
      </c>
      <c r="C357" s="59" t="s">
        <v>611</v>
      </c>
      <c r="D357" s="63" t="s">
        <v>691</v>
      </c>
      <c r="E357" s="46" t="s">
        <v>95</v>
      </c>
      <c r="F357" s="46" t="n">
        <v>4</v>
      </c>
      <c r="G357" s="46" t="n">
        <v>1</v>
      </c>
      <c r="H357" s="46" t="s">
        <v>96</v>
      </c>
      <c r="I357" s="56" t="str">
        <f aca="false">A357</f>
        <v>S3.030.308</v>
      </c>
      <c r="J357" s="63"/>
      <c r="K357" s="46"/>
      <c r="L357" s="46"/>
      <c r="M357" s="60" t="n">
        <v>1</v>
      </c>
      <c r="N357" s="61" t="n">
        <v>1</v>
      </c>
      <c r="O357" s="61"/>
      <c r="P357" s="61" t="n">
        <v>1</v>
      </c>
      <c r="Q357" s="48" t="n">
        <v>0</v>
      </c>
      <c r="R357" s="61" t="n">
        <v>1</v>
      </c>
      <c r="S357" s="61" t="n">
        <v>0</v>
      </c>
      <c r="T357" s="61" t="n">
        <v>1</v>
      </c>
      <c r="U357" s="61" t="n">
        <v>1</v>
      </c>
      <c r="V357" s="61" t="n">
        <v>0</v>
      </c>
      <c r="W357" s="61" t="n">
        <v>0</v>
      </c>
      <c r="X357" s="61" t="n">
        <v>1</v>
      </c>
      <c r="Y357" s="61" t="n">
        <v>0</v>
      </c>
      <c r="Z357" s="61" t="n">
        <v>1</v>
      </c>
      <c r="AA357" s="61" t="n">
        <v>1</v>
      </c>
      <c r="AB357" s="61" t="n">
        <v>0</v>
      </c>
      <c r="AC357" s="61" t="n">
        <v>0</v>
      </c>
      <c r="AD357" s="62" t="n">
        <v>0</v>
      </c>
      <c r="AE357" s="28" t="n">
        <v>355</v>
      </c>
      <c r="AF357" s="50"/>
    </row>
    <row r="358" customFormat="false" ht="15" hidden="false" customHeight="true" outlineLevel="0" collapsed="false">
      <c r="A358" s="58" t="s">
        <v>743</v>
      </c>
      <c r="B358" s="64" t="s">
        <v>744</v>
      </c>
      <c r="C358" s="59" t="s">
        <v>611</v>
      </c>
      <c r="D358" s="63" t="s">
        <v>691</v>
      </c>
      <c r="E358" s="46" t="s">
        <v>95</v>
      </c>
      <c r="F358" s="46" t="n">
        <v>4</v>
      </c>
      <c r="G358" s="46" t="n">
        <v>1</v>
      </c>
      <c r="H358" s="46" t="s">
        <v>96</v>
      </c>
      <c r="I358" s="56" t="str">
        <f aca="false">A358</f>
        <v>S3.030.309</v>
      </c>
      <c r="J358" s="63"/>
      <c r="K358" s="46"/>
      <c r="L358" s="46"/>
      <c r="M358" s="60" t="n">
        <v>1</v>
      </c>
      <c r="N358" s="61" t="n">
        <v>1</v>
      </c>
      <c r="O358" s="61"/>
      <c r="P358" s="61" t="n">
        <v>1</v>
      </c>
      <c r="Q358" s="48" t="n">
        <v>0</v>
      </c>
      <c r="R358" s="61" t="n">
        <v>1</v>
      </c>
      <c r="S358" s="61" t="n">
        <v>0</v>
      </c>
      <c r="T358" s="61" t="n">
        <v>1</v>
      </c>
      <c r="U358" s="61" t="n">
        <v>1</v>
      </c>
      <c r="V358" s="61" t="n">
        <v>0</v>
      </c>
      <c r="W358" s="61" t="n">
        <v>0</v>
      </c>
      <c r="X358" s="61" t="n">
        <v>1</v>
      </c>
      <c r="Y358" s="61" t="n">
        <v>0</v>
      </c>
      <c r="Z358" s="61" t="n">
        <v>1</v>
      </c>
      <c r="AA358" s="61" t="n">
        <v>1</v>
      </c>
      <c r="AB358" s="61" t="n">
        <v>0</v>
      </c>
      <c r="AC358" s="61" t="n">
        <v>0</v>
      </c>
      <c r="AD358" s="62" t="n">
        <v>0</v>
      </c>
      <c r="AE358" s="28" t="n">
        <v>356</v>
      </c>
      <c r="AF358" s="50"/>
    </row>
    <row r="359" customFormat="false" ht="14.15" hidden="false" customHeight="false" outlineLevel="0" collapsed="false">
      <c r="A359" s="58" t="s">
        <v>336</v>
      </c>
      <c r="B359" s="46" t="s">
        <v>745</v>
      </c>
      <c r="C359" s="59" t="s">
        <v>611</v>
      </c>
      <c r="D359" s="63" t="s">
        <v>691</v>
      </c>
      <c r="E359" s="46" t="s">
        <v>107</v>
      </c>
      <c r="F359" s="46" t="n">
        <v>2</v>
      </c>
      <c r="G359" s="46" t="n">
        <v>1</v>
      </c>
      <c r="H359" s="46" t="s">
        <v>108</v>
      </c>
      <c r="I359" s="56" t="str">
        <f aca="false">A359</f>
        <v>S4.020.402</v>
      </c>
      <c r="J359" s="63"/>
      <c r="K359" s="46"/>
      <c r="L359" s="46"/>
      <c r="M359" s="60" t="n">
        <v>1</v>
      </c>
      <c r="N359" s="61" t="n">
        <v>1</v>
      </c>
      <c r="O359" s="61"/>
      <c r="P359" s="61" t="n">
        <v>1</v>
      </c>
      <c r="Q359" s="48" t="n">
        <v>0</v>
      </c>
      <c r="R359" s="61" t="n">
        <v>2</v>
      </c>
      <c r="S359" s="61" t="n">
        <v>0</v>
      </c>
      <c r="T359" s="61" t="n">
        <v>1</v>
      </c>
      <c r="U359" s="61" t="n">
        <v>1</v>
      </c>
      <c r="V359" s="61" t="n">
        <v>0</v>
      </c>
      <c r="W359" s="61" t="n">
        <v>0</v>
      </c>
      <c r="X359" s="61" t="n">
        <v>1</v>
      </c>
      <c r="Y359" s="61" t="n">
        <v>0</v>
      </c>
      <c r="Z359" s="61" t="n">
        <v>2</v>
      </c>
      <c r="AA359" s="61" t="n">
        <v>1</v>
      </c>
      <c r="AB359" s="61" t="n">
        <v>0</v>
      </c>
      <c r="AC359" s="61" t="n">
        <v>0</v>
      </c>
      <c r="AD359" s="62" t="n">
        <v>0</v>
      </c>
      <c r="AE359" s="39" t="n">
        <v>357</v>
      </c>
      <c r="AF359" s="50"/>
    </row>
    <row r="360" customFormat="false" ht="14.15" hidden="false" customHeight="false" outlineLevel="0" collapsed="false">
      <c r="A360" s="58" t="s">
        <v>746</v>
      </c>
      <c r="B360" s="46" t="s">
        <v>747</v>
      </c>
      <c r="C360" s="59" t="s">
        <v>611</v>
      </c>
      <c r="D360" s="63" t="s">
        <v>691</v>
      </c>
      <c r="E360" s="46" t="s">
        <v>107</v>
      </c>
      <c r="F360" s="46" t="n">
        <v>2</v>
      </c>
      <c r="G360" s="46" t="n">
        <v>1</v>
      </c>
      <c r="H360" s="46" t="s">
        <v>108</v>
      </c>
      <c r="I360" s="56" t="str">
        <f aca="false">A360</f>
        <v>S4.020.418</v>
      </c>
      <c r="J360" s="63"/>
      <c r="K360" s="46"/>
      <c r="L360" s="46"/>
      <c r="M360" s="60" t="n">
        <v>1</v>
      </c>
      <c r="N360" s="61" t="n">
        <v>1</v>
      </c>
      <c r="O360" s="61"/>
      <c r="P360" s="61" t="n">
        <v>1</v>
      </c>
      <c r="Q360" s="48" t="n">
        <v>0</v>
      </c>
      <c r="R360" s="61" t="n">
        <v>1</v>
      </c>
      <c r="S360" s="61" t="n">
        <v>0</v>
      </c>
      <c r="T360" s="61" t="n">
        <v>1</v>
      </c>
      <c r="U360" s="61" t="n">
        <v>1</v>
      </c>
      <c r="V360" s="61" t="n">
        <v>0</v>
      </c>
      <c r="W360" s="61" t="n">
        <v>0</v>
      </c>
      <c r="X360" s="61" t="n">
        <v>1</v>
      </c>
      <c r="Y360" s="61" t="n">
        <v>0</v>
      </c>
      <c r="Z360" s="61" t="n">
        <v>1</v>
      </c>
      <c r="AA360" s="61" t="n">
        <v>1</v>
      </c>
      <c r="AB360" s="61" t="n">
        <v>0</v>
      </c>
      <c r="AC360" s="61" t="n">
        <v>0</v>
      </c>
      <c r="AD360" s="62" t="n">
        <v>0</v>
      </c>
      <c r="AE360" s="39" t="n">
        <v>358</v>
      </c>
      <c r="AF360" s="50"/>
    </row>
    <row r="361" customFormat="false" ht="14.15" hidden="false" customHeight="false" outlineLevel="0" collapsed="false">
      <c r="A361" s="58" t="s">
        <v>748</v>
      </c>
      <c r="B361" s="46" t="s">
        <v>749</v>
      </c>
      <c r="C361" s="59" t="s">
        <v>611</v>
      </c>
      <c r="D361" s="63" t="s">
        <v>691</v>
      </c>
      <c r="E361" s="46" t="s">
        <v>107</v>
      </c>
      <c r="F361" s="46" t="n">
        <v>4</v>
      </c>
      <c r="G361" s="46" t="n">
        <v>1</v>
      </c>
      <c r="H361" s="46" t="s">
        <v>108</v>
      </c>
      <c r="I361" s="45" t="s">
        <v>363</v>
      </c>
      <c r="J361" s="63"/>
      <c r="K361" s="46"/>
      <c r="L361" s="46"/>
      <c r="M361" s="60" t="n">
        <v>1</v>
      </c>
      <c r="N361" s="61" t="n">
        <v>1</v>
      </c>
      <c r="O361" s="61"/>
      <c r="P361" s="61" t="n">
        <v>1</v>
      </c>
      <c r="Q361" s="48" t="n">
        <v>0</v>
      </c>
      <c r="R361" s="61" t="n">
        <v>2</v>
      </c>
      <c r="S361" s="61" t="n">
        <v>0</v>
      </c>
      <c r="T361" s="61" t="n">
        <v>1</v>
      </c>
      <c r="U361" s="61" t="n">
        <v>1</v>
      </c>
      <c r="V361" s="61" t="n">
        <v>0</v>
      </c>
      <c r="W361" s="61" t="n">
        <v>0</v>
      </c>
      <c r="X361" s="61" t="n">
        <v>4</v>
      </c>
      <c r="Y361" s="61" t="n">
        <v>0</v>
      </c>
      <c r="Z361" s="61" t="n">
        <v>2</v>
      </c>
      <c r="AA361" s="61" t="n">
        <v>1</v>
      </c>
      <c r="AB361" s="61" t="n">
        <v>0</v>
      </c>
      <c r="AC361" s="61" t="n">
        <v>0</v>
      </c>
      <c r="AD361" s="62" t="n">
        <v>0</v>
      </c>
      <c r="AE361" s="39" t="n">
        <v>359</v>
      </c>
      <c r="AF361" s="50"/>
    </row>
    <row r="362" customFormat="false" ht="14.15" hidden="false" customHeight="false" outlineLevel="0" collapsed="false">
      <c r="A362" s="58" t="s">
        <v>750</v>
      </c>
      <c r="B362" s="46" t="s">
        <v>751</v>
      </c>
      <c r="C362" s="59" t="s">
        <v>611</v>
      </c>
      <c r="D362" s="63" t="s">
        <v>691</v>
      </c>
      <c r="E362" s="46" t="s">
        <v>107</v>
      </c>
      <c r="F362" s="46" t="n">
        <v>4</v>
      </c>
      <c r="G362" s="46" t="n">
        <v>1</v>
      </c>
      <c r="H362" s="46" t="s">
        <v>108</v>
      </c>
      <c r="I362" s="56" t="str">
        <f aca="false">A362</f>
        <v>S4.030.408</v>
      </c>
      <c r="J362" s="63"/>
      <c r="K362" s="46"/>
      <c r="L362" s="46"/>
      <c r="M362" s="60" t="n">
        <v>1</v>
      </c>
      <c r="N362" s="61" t="n">
        <v>1</v>
      </c>
      <c r="O362" s="61"/>
      <c r="P362" s="61" t="n">
        <v>1</v>
      </c>
      <c r="Q362" s="48" t="n">
        <v>0</v>
      </c>
      <c r="R362" s="61" t="n">
        <v>1</v>
      </c>
      <c r="S362" s="61" t="n">
        <v>0</v>
      </c>
      <c r="T362" s="61" t="n">
        <v>1</v>
      </c>
      <c r="U362" s="61" t="n">
        <v>1</v>
      </c>
      <c r="V362" s="61" t="n">
        <v>0</v>
      </c>
      <c r="W362" s="61" t="n">
        <v>0</v>
      </c>
      <c r="X362" s="61" t="n">
        <v>1</v>
      </c>
      <c r="Y362" s="61" t="n">
        <v>0</v>
      </c>
      <c r="Z362" s="61" t="n">
        <v>1</v>
      </c>
      <c r="AA362" s="61" t="n">
        <v>1</v>
      </c>
      <c r="AB362" s="61" t="n">
        <v>0</v>
      </c>
      <c r="AC362" s="61" t="n">
        <v>0</v>
      </c>
      <c r="AD362" s="62" t="n">
        <v>0</v>
      </c>
      <c r="AE362" s="28" t="n">
        <v>360</v>
      </c>
      <c r="AF362" s="50"/>
    </row>
    <row r="363" customFormat="false" ht="15" hidden="false" customHeight="true" outlineLevel="0" collapsed="false">
      <c r="A363" s="58" t="s">
        <v>752</v>
      </c>
      <c r="B363" s="46" t="s">
        <v>753</v>
      </c>
      <c r="C363" s="59" t="s">
        <v>611</v>
      </c>
      <c r="D363" s="63" t="s">
        <v>691</v>
      </c>
      <c r="E363" s="46" t="s">
        <v>107</v>
      </c>
      <c r="F363" s="46" t="n">
        <v>4</v>
      </c>
      <c r="G363" s="46" t="n">
        <v>1</v>
      </c>
      <c r="H363" s="46" t="s">
        <v>108</v>
      </c>
      <c r="I363" s="56" t="str">
        <f aca="false">A363</f>
        <v>S4.030.409</v>
      </c>
      <c r="J363" s="63"/>
      <c r="K363" s="46"/>
      <c r="L363" s="46"/>
      <c r="M363" s="60" t="n">
        <v>1</v>
      </c>
      <c r="N363" s="61" t="n">
        <v>1</v>
      </c>
      <c r="O363" s="61"/>
      <c r="P363" s="61" t="n">
        <v>1</v>
      </c>
      <c r="Q363" s="48" t="n">
        <v>0</v>
      </c>
      <c r="R363" s="61" t="n">
        <v>1</v>
      </c>
      <c r="S363" s="61" t="n">
        <v>0</v>
      </c>
      <c r="T363" s="61" t="n">
        <v>1</v>
      </c>
      <c r="U363" s="61" t="n">
        <v>1</v>
      </c>
      <c r="V363" s="61" t="n">
        <v>0</v>
      </c>
      <c r="W363" s="61" t="n">
        <v>0</v>
      </c>
      <c r="X363" s="61" t="n">
        <v>1</v>
      </c>
      <c r="Y363" s="61" t="n">
        <v>0</v>
      </c>
      <c r="Z363" s="61" t="n">
        <v>1</v>
      </c>
      <c r="AA363" s="61" t="n">
        <v>1</v>
      </c>
      <c r="AB363" s="61" t="n">
        <v>0</v>
      </c>
      <c r="AC363" s="61" t="n">
        <v>0</v>
      </c>
      <c r="AD363" s="62" t="n">
        <v>0</v>
      </c>
      <c r="AE363" s="28" t="n">
        <v>361</v>
      </c>
      <c r="AF363" s="50"/>
    </row>
    <row r="364" customFormat="false" ht="14.15" hidden="false" customHeight="false" outlineLevel="0" collapsed="false">
      <c r="A364" s="58" t="s">
        <v>369</v>
      </c>
      <c r="B364" s="46" t="s">
        <v>754</v>
      </c>
      <c r="C364" s="59" t="s">
        <v>611</v>
      </c>
      <c r="D364" s="63" t="s">
        <v>691</v>
      </c>
      <c r="E364" s="46" t="s">
        <v>119</v>
      </c>
      <c r="F364" s="46" t="n">
        <v>2</v>
      </c>
      <c r="G364" s="46" t="n">
        <v>1</v>
      </c>
      <c r="H364" s="46" t="s">
        <v>120</v>
      </c>
      <c r="I364" s="56" t="str">
        <f aca="false">A364</f>
        <v>S5.020.502</v>
      </c>
      <c r="J364" s="63"/>
      <c r="K364" s="46"/>
      <c r="L364" s="46"/>
      <c r="M364" s="60" t="n">
        <v>1</v>
      </c>
      <c r="N364" s="61" t="n">
        <v>1</v>
      </c>
      <c r="O364" s="61"/>
      <c r="P364" s="61" t="n">
        <v>1</v>
      </c>
      <c r="Q364" s="48" t="n">
        <v>0</v>
      </c>
      <c r="R364" s="61" t="n">
        <v>2</v>
      </c>
      <c r="S364" s="61" t="n">
        <v>0</v>
      </c>
      <c r="T364" s="61" t="n">
        <v>1</v>
      </c>
      <c r="U364" s="61" t="n">
        <v>1</v>
      </c>
      <c r="V364" s="61" t="n">
        <v>0</v>
      </c>
      <c r="W364" s="61" t="n">
        <v>0</v>
      </c>
      <c r="X364" s="61" t="n">
        <v>1</v>
      </c>
      <c r="Y364" s="61" t="n">
        <v>0</v>
      </c>
      <c r="Z364" s="61" t="n">
        <v>2</v>
      </c>
      <c r="AA364" s="61" t="n">
        <v>1</v>
      </c>
      <c r="AB364" s="61" t="n">
        <v>0</v>
      </c>
      <c r="AC364" s="61" t="n">
        <v>0</v>
      </c>
      <c r="AD364" s="62" t="n">
        <v>0</v>
      </c>
      <c r="AE364" s="39" t="n">
        <v>362</v>
      </c>
      <c r="AF364" s="50"/>
    </row>
    <row r="365" customFormat="false" ht="14.15" hidden="false" customHeight="false" outlineLevel="0" collapsed="false">
      <c r="A365" s="58" t="s">
        <v>755</v>
      </c>
      <c r="B365" s="46" t="s">
        <v>756</v>
      </c>
      <c r="C365" s="59" t="s">
        <v>611</v>
      </c>
      <c r="D365" s="63" t="s">
        <v>691</v>
      </c>
      <c r="E365" s="46" t="s">
        <v>119</v>
      </c>
      <c r="F365" s="46" t="n">
        <v>2</v>
      </c>
      <c r="G365" s="46" t="n">
        <v>1</v>
      </c>
      <c r="H365" s="46" t="s">
        <v>120</v>
      </c>
      <c r="I365" s="56" t="str">
        <f aca="false">A365</f>
        <v>S5.020.518</v>
      </c>
      <c r="J365" s="63"/>
      <c r="K365" s="46"/>
      <c r="L365" s="46"/>
      <c r="M365" s="60" t="n">
        <v>1</v>
      </c>
      <c r="N365" s="61" t="n">
        <v>1</v>
      </c>
      <c r="O365" s="61"/>
      <c r="P365" s="61" t="n">
        <v>1</v>
      </c>
      <c r="Q365" s="48" t="n">
        <v>0</v>
      </c>
      <c r="R365" s="61" t="n">
        <v>1</v>
      </c>
      <c r="S365" s="61" t="n">
        <v>0</v>
      </c>
      <c r="T365" s="61" t="n">
        <v>1</v>
      </c>
      <c r="U365" s="61" t="n">
        <v>1</v>
      </c>
      <c r="V365" s="61" t="n">
        <v>0</v>
      </c>
      <c r="W365" s="61" t="n">
        <v>0</v>
      </c>
      <c r="X365" s="61" t="n">
        <v>1</v>
      </c>
      <c r="Y365" s="61" t="n">
        <v>0</v>
      </c>
      <c r="Z365" s="61" t="n">
        <v>1</v>
      </c>
      <c r="AA365" s="61" t="n">
        <v>1</v>
      </c>
      <c r="AB365" s="61" t="n">
        <v>0</v>
      </c>
      <c r="AC365" s="61" t="n">
        <v>0</v>
      </c>
      <c r="AD365" s="62" t="n">
        <v>0</v>
      </c>
      <c r="AE365" s="39" t="n">
        <v>363</v>
      </c>
      <c r="AF365" s="50"/>
    </row>
    <row r="366" customFormat="false" ht="15" hidden="false" customHeight="true" outlineLevel="0" collapsed="false">
      <c r="A366" s="58" t="s">
        <v>757</v>
      </c>
      <c r="B366" s="46" t="s">
        <v>758</v>
      </c>
      <c r="C366" s="59" t="s">
        <v>611</v>
      </c>
      <c r="D366" s="63" t="s">
        <v>691</v>
      </c>
      <c r="E366" s="46" t="s">
        <v>119</v>
      </c>
      <c r="F366" s="46" t="n">
        <v>4</v>
      </c>
      <c r="G366" s="46" t="n">
        <v>1</v>
      </c>
      <c r="H366" s="46" t="s">
        <v>120</v>
      </c>
      <c r="I366" s="45" t="s">
        <v>396</v>
      </c>
      <c r="J366" s="63"/>
      <c r="K366" s="46"/>
      <c r="L366" s="46"/>
      <c r="M366" s="60" t="n">
        <v>1</v>
      </c>
      <c r="N366" s="61" t="n">
        <v>1</v>
      </c>
      <c r="O366" s="61"/>
      <c r="P366" s="61" t="n">
        <v>1</v>
      </c>
      <c r="Q366" s="48" t="n">
        <v>0</v>
      </c>
      <c r="R366" s="61" t="n">
        <v>2</v>
      </c>
      <c r="S366" s="61" t="n">
        <v>0</v>
      </c>
      <c r="T366" s="61" t="n">
        <v>1</v>
      </c>
      <c r="U366" s="61" t="n">
        <v>1</v>
      </c>
      <c r="V366" s="61" t="n">
        <v>0</v>
      </c>
      <c r="W366" s="61" t="n">
        <v>0</v>
      </c>
      <c r="X366" s="61" t="n">
        <v>4</v>
      </c>
      <c r="Y366" s="61" t="n">
        <v>0</v>
      </c>
      <c r="Z366" s="61" t="n">
        <v>2</v>
      </c>
      <c r="AA366" s="61" t="n">
        <v>1</v>
      </c>
      <c r="AB366" s="61" t="n">
        <v>0</v>
      </c>
      <c r="AC366" s="61" t="n">
        <v>0</v>
      </c>
      <c r="AD366" s="62" t="n">
        <v>0</v>
      </c>
      <c r="AE366" s="39" t="n">
        <v>364</v>
      </c>
      <c r="AF366" s="50"/>
    </row>
    <row r="367" customFormat="false" ht="14.15" hidden="false" customHeight="false" outlineLevel="0" collapsed="false">
      <c r="A367" s="58" t="s">
        <v>759</v>
      </c>
      <c r="B367" s="46" t="s">
        <v>760</v>
      </c>
      <c r="C367" s="59" t="s">
        <v>611</v>
      </c>
      <c r="D367" s="63" t="s">
        <v>691</v>
      </c>
      <c r="E367" s="46" t="s">
        <v>119</v>
      </c>
      <c r="F367" s="46" t="n">
        <v>4</v>
      </c>
      <c r="G367" s="46" t="n">
        <v>1</v>
      </c>
      <c r="H367" s="46" t="s">
        <v>120</v>
      </c>
      <c r="I367" s="56" t="str">
        <f aca="false">A367</f>
        <v>S5.030.508</v>
      </c>
      <c r="J367" s="63"/>
      <c r="K367" s="46"/>
      <c r="L367" s="46"/>
      <c r="M367" s="60" t="n">
        <v>1</v>
      </c>
      <c r="N367" s="61" t="n">
        <v>1</v>
      </c>
      <c r="O367" s="61"/>
      <c r="P367" s="61" t="n">
        <v>1</v>
      </c>
      <c r="Q367" s="48" t="n">
        <v>0</v>
      </c>
      <c r="R367" s="61" t="n">
        <v>1</v>
      </c>
      <c r="S367" s="61" t="n">
        <v>0</v>
      </c>
      <c r="T367" s="61" t="n">
        <v>1</v>
      </c>
      <c r="U367" s="61" t="n">
        <v>1</v>
      </c>
      <c r="V367" s="61" t="n">
        <v>0</v>
      </c>
      <c r="W367" s="61" t="n">
        <v>0</v>
      </c>
      <c r="X367" s="61" t="n">
        <v>1</v>
      </c>
      <c r="Y367" s="61" t="n">
        <v>0</v>
      </c>
      <c r="Z367" s="61" t="n">
        <v>1</v>
      </c>
      <c r="AA367" s="61" t="n">
        <v>1</v>
      </c>
      <c r="AB367" s="61" t="n">
        <v>0</v>
      </c>
      <c r="AC367" s="61" t="n">
        <v>0</v>
      </c>
      <c r="AD367" s="62" t="n">
        <v>0</v>
      </c>
      <c r="AE367" s="28" t="n">
        <v>365</v>
      </c>
      <c r="AF367" s="50"/>
    </row>
    <row r="368" customFormat="false" ht="14.15" hidden="false" customHeight="false" outlineLevel="0" collapsed="false">
      <c r="A368" s="58" t="s">
        <v>761</v>
      </c>
      <c r="B368" s="46" t="s">
        <v>762</v>
      </c>
      <c r="C368" s="59" t="s">
        <v>611</v>
      </c>
      <c r="D368" s="63" t="s">
        <v>691</v>
      </c>
      <c r="E368" s="46" t="s">
        <v>119</v>
      </c>
      <c r="F368" s="46" t="n">
        <v>4</v>
      </c>
      <c r="G368" s="46" t="n">
        <v>1</v>
      </c>
      <c r="H368" s="46" t="s">
        <v>120</v>
      </c>
      <c r="I368" s="56" t="str">
        <f aca="false">A368</f>
        <v>S5.030.509</v>
      </c>
      <c r="J368" s="63"/>
      <c r="K368" s="46"/>
      <c r="L368" s="46"/>
      <c r="M368" s="60" t="n">
        <v>1</v>
      </c>
      <c r="N368" s="61" t="n">
        <v>1</v>
      </c>
      <c r="O368" s="61"/>
      <c r="P368" s="61" t="n">
        <v>1</v>
      </c>
      <c r="Q368" s="61" t="n">
        <v>0</v>
      </c>
      <c r="R368" s="61" t="n">
        <v>1</v>
      </c>
      <c r="S368" s="61" t="n">
        <v>0</v>
      </c>
      <c r="T368" s="61" t="n">
        <v>1</v>
      </c>
      <c r="U368" s="61" t="n">
        <v>1</v>
      </c>
      <c r="V368" s="61" t="n">
        <v>0</v>
      </c>
      <c r="W368" s="61" t="n">
        <v>0</v>
      </c>
      <c r="X368" s="61" t="n">
        <v>1</v>
      </c>
      <c r="Y368" s="61" t="n">
        <v>0</v>
      </c>
      <c r="Z368" s="61" t="n">
        <v>1</v>
      </c>
      <c r="AA368" s="61" t="n">
        <v>1</v>
      </c>
      <c r="AB368" s="61" t="n">
        <v>0</v>
      </c>
      <c r="AC368" s="61" t="n">
        <v>0</v>
      </c>
      <c r="AD368" s="62" t="n">
        <v>0</v>
      </c>
      <c r="AE368" s="28" t="n">
        <v>366</v>
      </c>
      <c r="AF368" s="50"/>
    </row>
    <row r="369" customFormat="false" ht="14.15" hidden="false" customHeight="false" outlineLevel="0" collapsed="false">
      <c r="A369" s="58" t="s">
        <v>402</v>
      </c>
      <c r="B369" s="46" t="s">
        <v>763</v>
      </c>
      <c r="C369" s="59" t="s">
        <v>611</v>
      </c>
      <c r="D369" s="63" t="s">
        <v>691</v>
      </c>
      <c r="E369" s="46" t="s">
        <v>131</v>
      </c>
      <c r="F369" s="46" t="n">
        <v>2</v>
      </c>
      <c r="G369" s="46" t="n">
        <v>1</v>
      </c>
      <c r="H369" s="46" t="s">
        <v>132</v>
      </c>
      <c r="I369" s="56" t="str">
        <f aca="false">A369</f>
        <v>S6.020.602</v>
      </c>
      <c r="J369" s="63"/>
      <c r="K369" s="46"/>
      <c r="L369" s="46"/>
      <c r="M369" s="60" t="n">
        <v>1</v>
      </c>
      <c r="N369" s="61" t="n">
        <v>1</v>
      </c>
      <c r="O369" s="61"/>
      <c r="P369" s="61" t="n">
        <v>1</v>
      </c>
      <c r="Q369" s="61" t="n">
        <v>0</v>
      </c>
      <c r="R369" s="61" t="n">
        <v>2</v>
      </c>
      <c r="S369" s="61" t="n">
        <v>0</v>
      </c>
      <c r="T369" s="61" t="n">
        <v>1</v>
      </c>
      <c r="U369" s="61" t="n">
        <v>1</v>
      </c>
      <c r="V369" s="61" t="n">
        <v>0</v>
      </c>
      <c r="W369" s="61" t="n">
        <v>0</v>
      </c>
      <c r="X369" s="61" t="n">
        <v>1</v>
      </c>
      <c r="Y369" s="61" t="n">
        <v>0</v>
      </c>
      <c r="Z369" s="61" t="n">
        <v>2</v>
      </c>
      <c r="AA369" s="61" t="n">
        <v>1</v>
      </c>
      <c r="AB369" s="61" t="n">
        <v>0</v>
      </c>
      <c r="AC369" s="61" t="n">
        <v>0</v>
      </c>
      <c r="AD369" s="62" t="n">
        <v>0</v>
      </c>
      <c r="AE369" s="39" t="n">
        <v>367</v>
      </c>
      <c r="AF369" s="50"/>
    </row>
    <row r="370" customFormat="false" ht="15" hidden="false" customHeight="true" outlineLevel="0" collapsed="false">
      <c r="A370" s="58" t="s">
        <v>764</v>
      </c>
      <c r="B370" s="46" t="s">
        <v>765</v>
      </c>
      <c r="C370" s="59" t="s">
        <v>611</v>
      </c>
      <c r="D370" s="63" t="s">
        <v>691</v>
      </c>
      <c r="E370" s="46" t="s">
        <v>131</v>
      </c>
      <c r="F370" s="46" t="n">
        <v>2</v>
      </c>
      <c r="G370" s="46" t="n">
        <v>1</v>
      </c>
      <c r="H370" s="46" t="s">
        <v>132</v>
      </c>
      <c r="I370" s="56" t="str">
        <f aca="false">A370</f>
        <v>S6.020.618</v>
      </c>
      <c r="J370" s="63"/>
      <c r="K370" s="46"/>
      <c r="L370" s="46"/>
      <c r="M370" s="60" t="n">
        <v>1</v>
      </c>
      <c r="N370" s="61" t="n">
        <v>1</v>
      </c>
      <c r="O370" s="61"/>
      <c r="P370" s="61" t="n">
        <v>1</v>
      </c>
      <c r="Q370" s="61" t="n">
        <v>0</v>
      </c>
      <c r="R370" s="61" t="n">
        <v>1</v>
      </c>
      <c r="S370" s="61" t="n">
        <v>0</v>
      </c>
      <c r="T370" s="61" t="n">
        <v>1</v>
      </c>
      <c r="U370" s="61" t="n">
        <v>1</v>
      </c>
      <c r="V370" s="61" t="n">
        <v>0</v>
      </c>
      <c r="W370" s="61" t="n">
        <v>0</v>
      </c>
      <c r="X370" s="61" t="n">
        <v>1</v>
      </c>
      <c r="Y370" s="61" t="n">
        <v>0</v>
      </c>
      <c r="Z370" s="61" t="n">
        <v>1</v>
      </c>
      <c r="AA370" s="61" t="n">
        <v>1</v>
      </c>
      <c r="AB370" s="61" t="n">
        <v>0</v>
      </c>
      <c r="AC370" s="61" t="n">
        <v>0</v>
      </c>
      <c r="AD370" s="62" t="n">
        <v>0</v>
      </c>
      <c r="AE370" s="39" t="n">
        <v>368</v>
      </c>
      <c r="AF370" s="50"/>
    </row>
    <row r="371" customFormat="false" ht="15" hidden="false" customHeight="true" outlineLevel="0" collapsed="false">
      <c r="A371" s="58" t="s">
        <v>766</v>
      </c>
      <c r="B371" s="46" t="s">
        <v>767</v>
      </c>
      <c r="C371" s="59" t="s">
        <v>611</v>
      </c>
      <c r="D371" s="63" t="s">
        <v>691</v>
      </c>
      <c r="E371" s="46" t="s">
        <v>131</v>
      </c>
      <c r="F371" s="46" t="n">
        <v>4</v>
      </c>
      <c r="G371" s="46" t="n">
        <v>1</v>
      </c>
      <c r="H371" s="46" t="s">
        <v>132</v>
      </c>
      <c r="I371" s="45" t="s">
        <v>429</v>
      </c>
      <c r="J371" s="63"/>
      <c r="K371" s="46"/>
      <c r="L371" s="46"/>
      <c r="M371" s="60" t="n">
        <v>1</v>
      </c>
      <c r="N371" s="61" t="n">
        <v>1</v>
      </c>
      <c r="O371" s="61"/>
      <c r="P371" s="61" t="n">
        <v>1</v>
      </c>
      <c r="Q371" s="61" t="n">
        <v>0</v>
      </c>
      <c r="R371" s="61" t="n">
        <v>2</v>
      </c>
      <c r="S371" s="61" t="n">
        <v>0</v>
      </c>
      <c r="T371" s="61" t="n">
        <v>1</v>
      </c>
      <c r="U371" s="61" t="n">
        <v>1</v>
      </c>
      <c r="V371" s="61" t="n">
        <v>0</v>
      </c>
      <c r="W371" s="61" t="n">
        <v>0</v>
      </c>
      <c r="X371" s="61" t="n">
        <v>4</v>
      </c>
      <c r="Y371" s="61" t="n">
        <v>0</v>
      </c>
      <c r="Z371" s="61" t="n">
        <v>2</v>
      </c>
      <c r="AA371" s="61" t="n">
        <v>1</v>
      </c>
      <c r="AB371" s="61" t="n">
        <v>0</v>
      </c>
      <c r="AC371" s="61" t="n">
        <v>0</v>
      </c>
      <c r="AD371" s="62" t="n">
        <v>0</v>
      </c>
      <c r="AE371" s="39" t="n">
        <v>369</v>
      </c>
      <c r="AF371" s="50"/>
    </row>
    <row r="372" customFormat="false" ht="15" hidden="false" customHeight="true" outlineLevel="0" collapsed="false">
      <c r="A372" s="58" t="s">
        <v>768</v>
      </c>
      <c r="B372" s="46" t="s">
        <v>769</v>
      </c>
      <c r="C372" s="59" t="s">
        <v>611</v>
      </c>
      <c r="D372" s="63" t="s">
        <v>691</v>
      </c>
      <c r="E372" s="46" t="s">
        <v>131</v>
      </c>
      <c r="F372" s="46" t="n">
        <v>4</v>
      </c>
      <c r="G372" s="46" t="n">
        <v>1</v>
      </c>
      <c r="H372" s="46" t="s">
        <v>132</v>
      </c>
      <c r="I372" s="56" t="str">
        <f aca="false">A372</f>
        <v>S6.030.608</v>
      </c>
      <c r="J372" s="63"/>
      <c r="K372" s="46"/>
      <c r="L372" s="46"/>
      <c r="M372" s="60" t="n">
        <v>1</v>
      </c>
      <c r="N372" s="61" t="n">
        <v>1</v>
      </c>
      <c r="O372" s="61"/>
      <c r="P372" s="61" t="n">
        <v>1</v>
      </c>
      <c r="Q372" s="61" t="n">
        <v>0</v>
      </c>
      <c r="R372" s="61" t="n">
        <v>1</v>
      </c>
      <c r="S372" s="61" t="n">
        <v>0</v>
      </c>
      <c r="T372" s="61" t="n">
        <v>1</v>
      </c>
      <c r="U372" s="61" t="n">
        <v>1</v>
      </c>
      <c r="V372" s="61" t="n">
        <v>0</v>
      </c>
      <c r="W372" s="61" t="n">
        <v>0</v>
      </c>
      <c r="X372" s="61" t="n">
        <v>1</v>
      </c>
      <c r="Y372" s="61" t="n">
        <v>0</v>
      </c>
      <c r="Z372" s="61" t="n">
        <v>1</v>
      </c>
      <c r="AA372" s="61" t="n">
        <v>1</v>
      </c>
      <c r="AB372" s="61" t="n">
        <v>0</v>
      </c>
      <c r="AC372" s="61" t="n">
        <v>0</v>
      </c>
      <c r="AD372" s="62" t="n">
        <v>0</v>
      </c>
      <c r="AE372" s="28" t="n">
        <v>370</v>
      </c>
      <c r="AF372" s="50"/>
    </row>
    <row r="373" customFormat="false" ht="14.15" hidden="false" customHeight="false" outlineLevel="0" collapsed="false">
      <c r="A373" s="58" t="s">
        <v>770</v>
      </c>
      <c r="B373" s="46" t="s">
        <v>771</v>
      </c>
      <c r="C373" s="59" t="s">
        <v>611</v>
      </c>
      <c r="D373" s="63" t="s">
        <v>691</v>
      </c>
      <c r="E373" s="46" t="s">
        <v>131</v>
      </c>
      <c r="F373" s="46" t="n">
        <v>4</v>
      </c>
      <c r="G373" s="46" t="n">
        <v>1</v>
      </c>
      <c r="H373" s="46" t="s">
        <v>132</v>
      </c>
      <c r="I373" s="56" t="str">
        <f aca="false">A373</f>
        <v>S6.030.609</v>
      </c>
      <c r="J373" s="63"/>
      <c r="K373" s="46"/>
      <c r="L373" s="46"/>
      <c r="M373" s="60" t="n">
        <v>1</v>
      </c>
      <c r="N373" s="61" t="n">
        <v>1</v>
      </c>
      <c r="O373" s="61"/>
      <c r="P373" s="61" t="n">
        <v>1</v>
      </c>
      <c r="Q373" s="61" t="n">
        <v>0</v>
      </c>
      <c r="R373" s="61" t="n">
        <v>1</v>
      </c>
      <c r="S373" s="61" t="n">
        <v>0</v>
      </c>
      <c r="T373" s="61" t="n">
        <v>1</v>
      </c>
      <c r="U373" s="61" t="n">
        <v>1</v>
      </c>
      <c r="V373" s="61" t="n">
        <v>0</v>
      </c>
      <c r="W373" s="61" t="n">
        <v>0</v>
      </c>
      <c r="X373" s="61" t="n">
        <v>1</v>
      </c>
      <c r="Y373" s="61" t="n">
        <v>0</v>
      </c>
      <c r="Z373" s="61" t="n">
        <v>1</v>
      </c>
      <c r="AA373" s="61" t="n">
        <v>1</v>
      </c>
      <c r="AB373" s="61" t="n">
        <v>0</v>
      </c>
      <c r="AC373" s="61" t="n">
        <v>0</v>
      </c>
      <c r="AD373" s="62" t="n">
        <v>0</v>
      </c>
      <c r="AE373" s="28" t="n">
        <v>371</v>
      </c>
      <c r="AF373" s="50"/>
    </row>
    <row r="374" customFormat="false" ht="15" hidden="false" customHeight="true" outlineLevel="0" collapsed="false">
      <c r="A374" s="58" t="s">
        <v>435</v>
      </c>
      <c r="B374" s="46" t="s">
        <v>772</v>
      </c>
      <c r="C374" s="59" t="s">
        <v>611</v>
      </c>
      <c r="D374" s="63" t="s">
        <v>691</v>
      </c>
      <c r="E374" s="46" t="s">
        <v>143</v>
      </c>
      <c r="F374" s="46" t="n">
        <v>2</v>
      </c>
      <c r="G374" s="46" t="n">
        <v>1</v>
      </c>
      <c r="H374" s="46" t="s">
        <v>144</v>
      </c>
      <c r="I374" s="56" t="str">
        <f aca="false">A374</f>
        <v>S7.020.702</v>
      </c>
      <c r="J374" s="63"/>
      <c r="K374" s="46"/>
      <c r="L374" s="46"/>
      <c r="M374" s="60" t="n">
        <v>1</v>
      </c>
      <c r="N374" s="61" t="n">
        <v>1</v>
      </c>
      <c r="O374" s="61"/>
      <c r="P374" s="61" t="n">
        <v>1</v>
      </c>
      <c r="Q374" s="61" t="n">
        <v>0</v>
      </c>
      <c r="R374" s="61" t="n">
        <v>2</v>
      </c>
      <c r="S374" s="61" t="n">
        <v>0</v>
      </c>
      <c r="T374" s="61" t="n">
        <v>1</v>
      </c>
      <c r="U374" s="61" t="n">
        <v>1</v>
      </c>
      <c r="V374" s="61" t="n">
        <v>0</v>
      </c>
      <c r="W374" s="61" t="n">
        <v>0</v>
      </c>
      <c r="X374" s="61" t="n">
        <v>1</v>
      </c>
      <c r="Y374" s="61" t="n">
        <v>0</v>
      </c>
      <c r="Z374" s="61" t="n">
        <v>2</v>
      </c>
      <c r="AA374" s="61" t="n">
        <v>1</v>
      </c>
      <c r="AB374" s="61" t="n">
        <v>0</v>
      </c>
      <c r="AC374" s="61" t="n">
        <v>0</v>
      </c>
      <c r="AD374" s="62" t="n">
        <v>0</v>
      </c>
      <c r="AE374" s="39" t="n">
        <v>372</v>
      </c>
      <c r="AF374" s="50"/>
    </row>
    <row r="375" customFormat="false" ht="14.15" hidden="false" customHeight="false" outlineLevel="0" collapsed="false">
      <c r="A375" s="58" t="s">
        <v>773</v>
      </c>
      <c r="B375" s="46" t="s">
        <v>774</v>
      </c>
      <c r="C375" s="59" t="s">
        <v>611</v>
      </c>
      <c r="D375" s="63" t="s">
        <v>691</v>
      </c>
      <c r="E375" s="46" t="s">
        <v>143</v>
      </c>
      <c r="F375" s="46" t="n">
        <v>2</v>
      </c>
      <c r="G375" s="46" t="n">
        <v>1</v>
      </c>
      <c r="H375" s="46" t="s">
        <v>144</v>
      </c>
      <c r="I375" s="56" t="str">
        <f aca="false">A375</f>
        <v>S7.020.718</v>
      </c>
      <c r="J375" s="63"/>
      <c r="K375" s="46"/>
      <c r="L375" s="46"/>
      <c r="M375" s="60" t="n">
        <v>1</v>
      </c>
      <c r="N375" s="61" t="n">
        <v>1</v>
      </c>
      <c r="O375" s="61"/>
      <c r="P375" s="61" t="n">
        <v>1</v>
      </c>
      <c r="Q375" s="61" t="n">
        <v>0</v>
      </c>
      <c r="R375" s="61" t="n">
        <v>1</v>
      </c>
      <c r="S375" s="61" t="n">
        <v>0</v>
      </c>
      <c r="T375" s="61" t="n">
        <v>1</v>
      </c>
      <c r="U375" s="61" t="n">
        <v>1</v>
      </c>
      <c r="V375" s="61" t="n">
        <v>0</v>
      </c>
      <c r="W375" s="61" t="n">
        <v>0</v>
      </c>
      <c r="X375" s="61" t="n">
        <v>1</v>
      </c>
      <c r="Y375" s="61" t="n">
        <v>0</v>
      </c>
      <c r="Z375" s="61" t="n">
        <v>1</v>
      </c>
      <c r="AA375" s="61" t="n">
        <v>1</v>
      </c>
      <c r="AB375" s="61" t="n">
        <v>0</v>
      </c>
      <c r="AC375" s="61" t="n">
        <v>0</v>
      </c>
      <c r="AD375" s="62" t="n">
        <v>0</v>
      </c>
      <c r="AE375" s="39" t="n">
        <v>373</v>
      </c>
      <c r="AF375" s="50"/>
    </row>
    <row r="376" customFormat="false" ht="14.15" hidden="false" customHeight="false" outlineLevel="0" collapsed="false">
      <c r="A376" s="58" t="s">
        <v>775</v>
      </c>
      <c r="B376" s="46" t="s">
        <v>776</v>
      </c>
      <c r="C376" s="59" t="s">
        <v>611</v>
      </c>
      <c r="D376" s="63" t="s">
        <v>691</v>
      </c>
      <c r="E376" s="46" t="s">
        <v>143</v>
      </c>
      <c r="F376" s="46" t="n">
        <v>4</v>
      </c>
      <c r="G376" s="46" t="n">
        <v>1</v>
      </c>
      <c r="H376" s="46" t="s">
        <v>144</v>
      </c>
      <c r="I376" s="45" t="s">
        <v>462</v>
      </c>
      <c r="J376" s="63"/>
      <c r="K376" s="46"/>
      <c r="L376" s="46"/>
      <c r="M376" s="60" t="n">
        <v>1</v>
      </c>
      <c r="N376" s="61" t="n">
        <v>1</v>
      </c>
      <c r="O376" s="61"/>
      <c r="P376" s="61" t="n">
        <v>1</v>
      </c>
      <c r="Q376" s="61" t="n">
        <v>0</v>
      </c>
      <c r="R376" s="61" t="n">
        <v>2</v>
      </c>
      <c r="S376" s="61" t="n">
        <v>0</v>
      </c>
      <c r="T376" s="61" t="n">
        <v>1</v>
      </c>
      <c r="U376" s="61" t="n">
        <v>1</v>
      </c>
      <c r="V376" s="61" t="n">
        <v>0</v>
      </c>
      <c r="W376" s="61" t="n">
        <v>0</v>
      </c>
      <c r="X376" s="61" t="n">
        <v>4</v>
      </c>
      <c r="Y376" s="61" t="n">
        <v>0</v>
      </c>
      <c r="Z376" s="61" t="n">
        <v>2</v>
      </c>
      <c r="AA376" s="61" t="n">
        <v>1</v>
      </c>
      <c r="AB376" s="61" t="n">
        <v>0</v>
      </c>
      <c r="AC376" s="61" t="n">
        <v>0</v>
      </c>
      <c r="AD376" s="62" t="n">
        <v>0</v>
      </c>
      <c r="AE376" s="39" t="n">
        <v>374</v>
      </c>
      <c r="AF376" s="50"/>
    </row>
    <row r="377" customFormat="false" ht="14.15" hidden="false" customHeight="false" outlineLevel="0" collapsed="false">
      <c r="A377" s="58" t="s">
        <v>777</v>
      </c>
      <c r="B377" s="46" t="s">
        <v>778</v>
      </c>
      <c r="C377" s="59" t="s">
        <v>611</v>
      </c>
      <c r="D377" s="63" t="s">
        <v>691</v>
      </c>
      <c r="E377" s="46" t="s">
        <v>143</v>
      </c>
      <c r="F377" s="46" t="n">
        <v>4</v>
      </c>
      <c r="G377" s="46" t="n">
        <v>1</v>
      </c>
      <c r="H377" s="46" t="s">
        <v>144</v>
      </c>
      <c r="I377" s="56" t="str">
        <f aca="false">A377</f>
        <v>S7.030.708</v>
      </c>
      <c r="J377" s="63"/>
      <c r="K377" s="46"/>
      <c r="L377" s="46"/>
      <c r="M377" s="60" t="n">
        <v>1</v>
      </c>
      <c r="N377" s="61" t="n">
        <v>1</v>
      </c>
      <c r="O377" s="61"/>
      <c r="P377" s="61" t="n">
        <v>1</v>
      </c>
      <c r="Q377" s="61" t="n">
        <v>0</v>
      </c>
      <c r="R377" s="61" t="n">
        <v>1</v>
      </c>
      <c r="S377" s="61" t="n">
        <v>0</v>
      </c>
      <c r="T377" s="61" t="n">
        <v>1</v>
      </c>
      <c r="U377" s="61" t="n">
        <v>1</v>
      </c>
      <c r="V377" s="61" t="n">
        <v>0</v>
      </c>
      <c r="W377" s="61" t="n">
        <v>0</v>
      </c>
      <c r="X377" s="61" t="n">
        <v>1</v>
      </c>
      <c r="Y377" s="61" t="n">
        <v>0</v>
      </c>
      <c r="Z377" s="61" t="n">
        <v>1</v>
      </c>
      <c r="AA377" s="61" t="n">
        <v>1</v>
      </c>
      <c r="AB377" s="61" t="n">
        <v>0</v>
      </c>
      <c r="AC377" s="61" t="n">
        <v>0</v>
      </c>
      <c r="AD377" s="62" t="n">
        <v>0</v>
      </c>
      <c r="AE377" s="28" t="n">
        <v>375</v>
      </c>
      <c r="AF377" s="50"/>
    </row>
    <row r="378" customFormat="false" ht="14.15" hidden="false" customHeight="false" outlineLevel="0" collapsed="false">
      <c r="A378" s="58" t="s">
        <v>779</v>
      </c>
      <c r="B378" s="46" t="s">
        <v>780</v>
      </c>
      <c r="C378" s="59" t="s">
        <v>611</v>
      </c>
      <c r="D378" s="63" t="s">
        <v>691</v>
      </c>
      <c r="E378" s="46" t="s">
        <v>143</v>
      </c>
      <c r="F378" s="46" t="n">
        <v>4</v>
      </c>
      <c r="G378" s="46" t="n">
        <v>1</v>
      </c>
      <c r="H378" s="46" t="s">
        <v>144</v>
      </c>
      <c r="I378" s="56" t="str">
        <f aca="false">A378</f>
        <v>S7.030.709</v>
      </c>
      <c r="J378" s="63"/>
      <c r="K378" s="46"/>
      <c r="L378" s="46"/>
      <c r="M378" s="60" t="n">
        <v>1</v>
      </c>
      <c r="N378" s="61" t="n">
        <v>1</v>
      </c>
      <c r="O378" s="61"/>
      <c r="P378" s="61" t="n">
        <v>1</v>
      </c>
      <c r="Q378" s="61" t="n">
        <v>0</v>
      </c>
      <c r="R378" s="61" t="n">
        <v>1</v>
      </c>
      <c r="S378" s="61" t="n">
        <v>0</v>
      </c>
      <c r="T378" s="61" t="n">
        <v>1</v>
      </c>
      <c r="U378" s="61" t="n">
        <v>1</v>
      </c>
      <c r="V378" s="61" t="n">
        <v>0</v>
      </c>
      <c r="W378" s="61" t="n">
        <v>0</v>
      </c>
      <c r="X378" s="61" t="n">
        <v>1</v>
      </c>
      <c r="Y378" s="61" t="n">
        <v>0</v>
      </c>
      <c r="Z378" s="61" t="n">
        <v>1</v>
      </c>
      <c r="AA378" s="61" t="n">
        <v>1</v>
      </c>
      <c r="AB378" s="61" t="n">
        <v>0</v>
      </c>
      <c r="AC378" s="61" t="n">
        <v>0</v>
      </c>
      <c r="AD378" s="62" t="n">
        <v>0</v>
      </c>
      <c r="AE378" s="28" t="n">
        <v>376</v>
      </c>
      <c r="AF378" s="50"/>
    </row>
    <row r="379" customFormat="false" ht="15" hidden="false" customHeight="true" outlineLevel="0" collapsed="false">
      <c r="A379" s="58" t="s">
        <v>468</v>
      </c>
      <c r="B379" s="46" t="s">
        <v>781</v>
      </c>
      <c r="C379" s="59" t="s">
        <v>611</v>
      </c>
      <c r="D379" s="63" t="s">
        <v>691</v>
      </c>
      <c r="E379" s="46" t="s">
        <v>155</v>
      </c>
      <c r="F379" s="46" t="n">
        <v>2</v>
      </c>
      <c r="G379" s="46" t="n">
        <v>1</v>
      </c>
      <c r="H379" s="46" t="s">
        <v>156</v>
      </c>
      <c r="I379" s="56" t="str">
        <f aca="false">A379</f>
        <v>S8.020.802</v>
      </c>
      <c r="J379" s="63"/>
      <c r="K379" s="46"/>
      <c r="L379" s="46"/>
      <c r="M379" s="60" t="n">
        <v>1</v>
      </c>
      <c r="N379" s="61" t="n">
        <v>1</v>
      </c>
      <c r="O379" s="61"/>
      <c r="P379" s="61" t="n">
        <v>1</v>
      </c>
      <c r="Q379" s="61" t="n">
        <v>0</v>
      </c>
      <c r="R379" s="61" t="n">
        <v>2</v>
      </c>
      <c r="S379" s="61" t="n">
        <v>0</v>
      </c>
      <c r="T379" s="61" t="n">
        <v>1</v>
      </c>
      <c r="U379" s="61" t="n">
        <v>1</v>
      </c>
      <c r="V379" s="61" t="n">
        <v>0</v>
      </c>
      <c r="W379" s="61" t="n">
        <v>0</v>
      </c>
      <c r="X379" s="61" t="n">
        <v>1</v>
      </c>
      <c r="Y379" s="61" t="n">
        <v>0</v>
      </c>
      <c r="Z379" s="61" t="n">
        <v>2</v>
      </c>
      <c r="AA379" s="61" t="n">
        <v>1</v>
      </c>
      <c r="AB379" s="61" t="n">
        <v>0</v>
      </c>
      <c r="AC379" s="61" t="n">
        <v>0</v>
      </c>
      <c r="AD379" s="62" t="n">
        <v>0</v>
      </c>
      <c r="AE379" s="39" t="n">
        <v>377</v>
      </c>
      <c r="AF379" s="50"/>
    </row>
    <row r="380" customFormat="false" ht="15" hidden="false" customHeight="true" outlineLevel="0" collapsed="false">
      <c r="A380" s="58" t="s">
        <v>782</v>
      </c>
      <c r="B380" s="46" t="s">
        <v>783</v>
      </c>
      <c r="C380" s="59" t="s">
        <v>611</v>
      </c>
      <c r="D380" s="63" t="s">
        <v>691</v>
      </c>
      <c r="E380" s="46" t="s">
        <v>155</v>
      </c>
      <c r="F380" s="46" t="n">
        <v>2</v>
      </c>
      <c r="G380" s="46" t="n">
        <v>1</v>
      </c>
      <c r="H380" s="46" t="s">
        <v>156</v>
      </c>
      <c r="I380" s="56" t="str">
        <f aca="false">A380</f>
        <v>S8.020.818</v>
      </c>
      <c r="J380" s="63"/>
      <c r="K380" s="46"/>
      <c r="L380" s="46"/>
      <c r="M380" s="60" t="n">
        <v>1</v>
      </c>
      <c r="N380" s="61" t="n">
        <v>1</v>
      </c>
      <c r="O380" s="61"/>
      <c r="P380" s="61" t="n">
        <v>1</v>
      </c>
      <c r="Q380" s="61" t="n">
        <v>0</v>
      </c>
      <c r="R380" s="61" t="n">
        <v>1</v>
      </c>
      <c r="S380" s="61" t="n">
        <v>0</v>
      </c>
      <c r="T380" s="61" t="n">
        <v>1</v>
      </c>
      <c r="U380" s="61" t="n">
        <v>1</v>
      </c>
      <c r="V380" s="61" t="n">
        <v>0</v>
      </c>
      <c r="W380" s="61" t="n">
        <v>0</v>
      </c>
      <c r="X380" s="61" t="n">
        <v>1</v>
      </c>
      <c r="Y380" s="61" t="n">
        <v>0</v>
      </c>
      <c r="Z380" s="61" t="n">
        <v>1</v>
      </c>
      <c r="AA380" s="61" t="n">
        <v>1</v>
      </c>
      <c r="AB380" s="61" t="n">
        <v>0</v>
      </c>
      <c r="AC380" s="61" t="n">
        <v>0</v>
      </c>
      <c r="AD380" s="62" t="n">
        <v>0</v>
      </c>
      <c r="AE380" s="39" t="n">
        <v>378</v>
      </c>
      <c r="AF380" s="50"/>
    </row>
    <row r="381" customFormat="false" ht="14.15" hidden="false" customHeight="false" outlineLevel="0" collapsed="false">
      <c r="A381" s="58" t="s">
        <v>784</v>
      </c>
      <c r="B381" s="46" t="s">
        <v>785</v>
      </c>
      <c r="C381" s="59" t="s">
        <v>611</v>
      </c>
      <c r="D381" s="63" t="s">
        <v>691</v>
      </c>
      <c r="E381" s="46" t="s">
        <v>155</v>
      </c>
      <c r="F381" s="46" t="n">
        <v>4</v>
      </c>
      <c r="G381" s="46" t="n">
        <v>1</v>
      </c>
      <c r="H381" s="46" t="s">
        <v>156</v>
      </c>
      <c r="I381" s="45" t="s">
        <v>481</v>
      </c>
      <c r="J381" s="63"/>
      <c r="K381" s="46"/>
      <c r="L381" s="46"/>
      <c r="M381" s="60" t="n">
        <v>1</v>
      </c>
      <c r="N381" s="61" t="n">
        <v>1</v>
      </c>
      <c r="O381" s="61"/>
      <c r="P381" s="61" t="n">
        <v>1</v>
      </c>
      <c r="Q381" s="61" t="n">
        <v>0</v>
      </c>
      <c r="R381" s="61" t="n">
        <v>2</v>
      </c>
      <c r="S381" s="61" t="n">
        <v>0</v>
      </c>
      <c r="T381" s="61" t="n">
        <v>1</v>
      </c>
      <c r="U381" s="61" t="n">
        <v>1</v>
      </c>
      <c r="V381" s="61" t="n">
        <v>0</v>
      </c>
      <c r="W381" s="61" t="n">
        <v>0</v>
      </c>
      <c r="X381" s="61" t="n">
        <v>4</v>
      </c>
      <c r="Y381" s="61" t="n">
        <v>0</v>
      </c>
      <c r="Z381" s="61" t="n">
        <v>2</v>
      </c>
      <c r="AA381" s="61" t="n">
        <v>1</v>
      </c>
      <c r="AB381" s="61" t="n">
        <v>0</v>
      </c>
      <c r="AC381" s="61" t="n">
        <v>0</v>
      </c>
      <c r="AD381" s="62" t="n">
        <v>0</v>
      </c>
      <c r="AE381" s="39" t="n">
        <v>379</v>
      </c>
      <c r="AF381" s="50"/>
    </row>
    <row r="382" customFormat="false" ht="14.15" hidden="false" customHeight="false" outlineLevel="0" collapsed="false">
      <c r="A382" s="58" t="s">
        <v>786</v>
      </c>
      <c r="B382" s="46" t="s">
        <v>787</v>
      </c>
      <c r="C382" s="59" t="s">
        <v>611</v>
      </c>
      <c r="D382" s="63" t="s">
        <v>691</v>
      </c>
      <c r="E382" s="46" t="s">
        <v>155</v>
      </c>
      <c r="F382" s="46" t="n">
        <v>4</v>
      </c>
      <c r="G382" s="46" t="n">
        <v>1</v>
      </c>
      <c r="H382" s="46" t="s">
        <v>156</v>
      </c>
      <c r="I382" s="56" t="str">
        <f aca="false">A382</f>
        <v>S8.030.808</v>
      </c>
      <c r="J382" s="63"/>
      <c r="K382" s="46"/>
      <c r="L382" s="46"/>
      <c r="M382" s="60" t="n">
        <v>1</v>
      </c>
      <c r="N382" s="61" t="n">
        <v>1</v>
      </c>
      <c r="O382" s="61"/>
      <c r="P382" s="61" t="n">
        <v>1</v>
      </c>
      <c r="Q382" s="61" t="n">
        <v>0</v>
      </c>
      <c r="R382" s="61" t="n">
        <v>1</v>
      </c>
      <c r="S382" s="61" t="n">
        <v>0</v>
      </c>
      <c r="T382" s="61" t="n">
        <v>1</v>
      </c>
      <c r="U382" s="61" t="n">
        <v>1</v>
      </c>
      <c r="V382" s="61" t="n">
        <v>0</v>
      </c>
      <c r="W382" s="61" t="n">
        <v>0</v>
      </c>
      <c r="X382" s="61" t="n">
        <v>1</v>
      </c>
      <c r="Y382" s="61" t="n">
        <v>0</v>
      </c>
      <c r="Z382" s="61" t="n">
        <v>1</v>
      </c>
      <c r="AA382" s="61" t="n">
        <v>1</v>
      </c>
      <c r="AB382" s="61" t="n">
        <v>0</v>
      </c>
      <c r="AC382" s="61" t="n">
        <v>0</v>
      </c>
      <c r="AD382" s="62" t="n">
        <v>0</v>
      </c>
      <c r="AE382" s="28" t="n">
        <v>380</v>
      </c>
      <c r="AF382" s="50"/>
    </row>
    <row r="383" customFormat="false" ht="14.15" hidden="false" customHeight="false" outlineLevel="0" collapsed="false">
      <c r="A383" s="58" t="s">
        <v>788</v>
      </c>
      <c r="B383" s="46" t="s">
        <v>789</v>
      </c>
      <c r="C383" s="59" t="s">
        <v>611</v>
      </c>
      <c r="D383" s="63" t="s">
        <v>691</v>
      </c>
      <c r="E383" s="46" t="s">
        <v>155</v>
      </c>
      <c r="F383" s="46" t="n">
        <v>4</v>
      </c>
      <c r="G383" s="46" t="n">
        <v>1</v>
      </c>
      <c r="H383" s="46" t="s">
        <v>156</v>
      </c>
      <c r="I383" s="56" t="str">
        <f aca="false">A383</f>
        <v>S8.030.809</v>
      </c>
      <c r="J383" s="63"/>
      <c r="K383" s="46"/>
      <c r="L383" s="46"/>
      <c r="M383" s="60" t="n">
        <v>1</v>
      </c>
      <c r="N383" s="61" t="n">
        <v>1</v>
      </c>
      <c r="O383" s="61"/>
      <c r="P383" s="61" t="n">
        <v>1</v>
      </c>
      <c r="Q383" s="61" t="n">
        <v>0</v>
      </c>
      <c r="R383" s="61" t="n">
        <v>1</v>
      </c>
      <c r="S383" s="61" t="n">
        <v>0</v>
      </c>
      <c r="T383" s="61" t="n">
        <v>1</v>
      </c>
      <c r="U383" s="61" t="n">
        <v>1</v>
      </c>
      <c r="V383" s="61" t="n">
        <v>0</v>
      </c>
      <c r="W383" s="61" t="n">
        <v>0</v>
      </c>
      <c r="X383" s="61" t="n">
        <v>1</v>
      </c>
      <c r="Y383" s="61" t="n">
        <v>0</v>
      </c>
      <c r="Z383" s="61" t="n">
        <v>1</v>
      </c>
      <c r="AA383" s="61" t="n">
        <v>1</v>
      </c>
      <c r="AB383" s="61" t="n">
        <v>0</v>
      </c>
      <c r="AC383" s="61" t="n">
        <v>0</v>
      </c>
      <c r="AD383" s="62" t="n">
        <v>0</v>
      </c>
      <c r="AE383" s="28" t="n">
        <v>381</v>
      </c>
      <c r="AF383" s="50"/>
    </row>
    <row r="384" customFormat="false" ht="14.15" hidden="false" customHeight="false" outlineLevel="0" collapsed="false">
      <c r="A384" s="30" t="s">
        <v>790</v>
      </c>
      <c r="B384" s="31"/>
      <c r="C384" s="32"/>
      <c r="D384" s="33"/>
      <c r="E384" s="31"/>
      <c r="F384" s="31"/>
      <c r="G384" s="31"/>
      <c r="H384" s="31"/>
      <c r="I384" s="35"/>
      <c r="J384" s="33"/>
      <c r="K384" s="35"/>
      <c r="L384" s="35"/>
      <c r="M384" s="36" t="n">
        <f aca="false">SUM(M385:M388)</f>
        <v>4</v>
      </c>
      <c r="N384" s="37" t="n">
        <f aca="false">SUM(N385:N388)</f>
        <v>4</v>
      </c>
      <c r="O384" s="37"/>
      <c r="P384" s="37" t="n">
        <f aca="false">SUM(P385:P388)</f>
        <v>4</v>
      </c>
      <c r="Q384" s="65" t="n">
        <f aca="false">SUM(Q385:Q388)</f>
        <v>0</v>
      </c>
      <c r="R384" s="37" t="n">
        <f aca="false">SUM(R385:R388)</f>
        <v>4</v>
      </c>
      <c r="S384" s="37" t="n">
        <f aca="false">SUM(S385:S388)</f>
        <v>0</v>
      </c>
      <c r="T384" s="37" t="n">
        <f aca="false">SUM(T385:T388)</f>
        <v>4</v>
      </c>
      <c r="U384" s="37" t="n">
        <f aca="false">SUM(U385:U388)</f>
        <v>4</v>
      </c>
      <c r="V384" s="37" t="n">
        <f aca="false">SUM(V385:V388)</f>
        <v>0</v>
      </c>
      <c r="W384" s="37" t="n">
        <f aca="false">SUM(W385:W388)</f>
        <v>0</v>
      </c>
      <c r="X384" s="37" t="n">
        <f aca="false">SUM(X385:X388)</f>
        <v>4</v>
      </c>
      <c r="Y384" s="37" t="n">
        <f aca="false">SUM(Y385:Y388)</f>
        <v>0</v>
      </c>
      <c r="Z384" s="37" t="n">
        <f aca="false">SUM(Z385:Z388)</f>
        <v>8</v>
      </c>
      <c r="AA384" s="37" t="n">
        <f aca="false">SUM(AA385:AA388)</f>
        <v>4</v>
      </c>
      <c r="AB384" s="37" t="n">
        <f aca="false">SUM(AB385:AB388)</f>
        <v>0</v>
      </c>
      <c r="AC384" s="37" t="n">
        <f aca="false">SUM(AC385:AC388)</f>
        <v>0</v>
      </c>
      <c r="AD384" s="38" t="n">
        <f aca="false">SUM(AD385:AD388)</f>
        <v>4</v>
      </c>
      <c r="AE384" s="39" t="n">
        <v>382</v>
      </c>
      <c r="AF384" s="50"/>
    </row>
    <row r="385" customFormat="false" ht="14.15" hidden="false" customHeight="false" outlineLevel="0" collapsed="false">
      <c r="A385" s="41" t="s">
        <v>791</v>
      </c>
      <c r="B385" s="42" t="s">
        <v>792</v>
      </c>
      <c r="C385" s="43" t="s">
        <v>611</v>
      </c>
      <c r="D385" s="44" t="s">
        <v>793</v>
      </c>
      <c r="E385" s="42" t="s">
        <v>43</v>
      </c>
      <c r="F385" s="42" t="n">
        <v>4</v>
      </c>
      <c r="G385" s="42" t="n">
        <v>2</v>
      </c>
      <c r="H385" s="46" t="s">
        <v>44</v>
      </c>
      <c r="I385" s="56" t="str">
        <f aca="false">A385</f>
        <v>A1.030.014</v>
      </c>
      <c r="J385" s="44"/>
      <c r="K385" s="46"/>
      <c r="L385" s="46"/>
      <c r="M385" s="47" t="n">
        <v>1</v>
      </c>
      <c r="N385" s="48" t="n">
        <v>1</v>
      </c>
      <c r="O385" s="48"/>
      <c r="P385" s="48" t="n">
        <v>1</v>
      </c>
      <c r="Q385" s="61" t="n">
        <v>0</v>
      </c>
      <c r="R385" s="48" t="n">
        <v>1</v>
      </c>
      <c r="S385" s="48" t="n">
        <v>0</v>
      </c>
      <c r="T385" s="48" t="n">
        <v>1</v>
      </c>
      <c r="U385" s="48" t="n">
        <v>1</v>
      </c>
      <c r="V385" s="48" t="n">
        <v>0</v>
      </c>
      <c r="W385" s="48" t="n">
        <v>0</v>
      </c>
      <c r="X385" s="48" t="n">
        <v>1</v>
      </c>
      <c r="Y385" s="48" t="n">
        <v>0</v>
      </c>
      <c r="Z385" s="48" t="n">
        <v>2</v>
      </c>
      <c r="AA385" s="48" t="n">
        <v>1</v>
      </c>
      <c r="AB385" s="48" t="n">
        <v>0</v>
      </c>
      <c r="AC385" s="48" t="n">
        <v>0</v>
      </c>
      <c r="AD385" s="49" t="n">
        <v>1</v>
      </c>
      <c r="AE385" s="39" t="n">
        <v>383</v>
      </c>
      <c r="AF385" s="50"/>
    </row>
    <row r="386" customFormat="false" ht="14.15" hidden="false" customHeight="false" outlineLevel="0" collapsed="false">
      <c r="A386" s="58" t="s">
        <v>794</v>
      </c>
      <c r="B386" s="46" t="s">
        <v>795</v>
      </c>
      <c r="C386" s="43" t="s">
        <v>611</v>
      </c>
      <c r="D386" s="44" t="s">
        <v>793</v>
      </c>
      <c r="E386" s="42" t="s">
        <v>43</v>
      </c>
      <c r="F386" s="46" t="n">
        <v>4</v>
      </c>
      <c r="G386" s="46" t="n">
        <v>2</v>
      </c>
      <c r="H386" s="46" t="s">
        <v>44</v>
      </c>
      <c r="I386" s="56" t="str">
        <f aca="false">A386</f>
        <v>A1.030.015</v>
      </c>
      <c r="J386" s="44"/>
      <c r="K386" s="46"/>
      <c r="L386" s="46"/>
      <c r="M386" s="60" t="n">
        <v>1</v>
      </c>
      <c r="N386" s="61" t="n">
        <v>1</v>
      </c>
      <c r="O386" s="61"/>
      <c r="P386" s="61" t="n">
        <v>1</v>
      </c>
      <c r="Q386" s="61" t="n">
        <v>0</v>
      </c>
      <c r="R386" s="61" t="n">
        <v>1</v>
      </c>
      <c r="S386" s="61" t="n">
        <v>0</v>
      </c>
      <c r="T386" s="61" t="n">
        <v>1</v>
      </c>
      <c r="U386" s="61" t="n">
        <v>1</v>
      </c>
      <c r="V386" s="61" t="n">
        <v>0</v>
      </c>
      <c r="W386" s="61" t="n">
        <v>0</v>
      </c>
      <c r="X386" s="61" t="n">
        <v>1</v>
      </c>
      <c r="Y386" s="61" t="n">
        <v>0</v>
      </c>
      <c r="Z386" s="61" t="n">
        <v>2</v>
      </c>
      <c r="AA386" s="61" t="n">
        <v>1</v>
      </c>
      <c r="AB386" s="61" t="n">
        <v>0</v>
      </c>
      <c r="AC386" s="61" t="n">
        <v>0</v>
      </c>
      <c r="AD386" s="62" t="n">
        <v>1</v>
      </c>
      <c r="AE386" s="39" t="n">
        <v>384</v>
      </c>
      <c r="AF386" s="50"/>
    </row>
    <row r="387" customFormat="false" ht="15" hidden="false" customHeight="true" outlineLevel="0" collapsed="false">
      <c r="A387" s="58" t="s">
        <v>796</v>
      </c>
      <c r="B387" s="46" t="s">
        <v>797</v>
      </c>
      <c r="C387" s="43" t="s">
        <v>611</v>
      </c>
      <c r="D387" s="44" t="s">
        <v>793</v>
      </c>
      <c r="E387" s="42" t="s">
        <v>43</v>
      </c>
      <c r="F387" s="46" t="n">
        <v>4</v>
      </c>
      <c r="G387" s="46" t="n">
        <v>2</v>
      </c>
      <c r="H387" s="46" t="s">
        <v>44</v>
      </c>
      <c r="I387" s="56" t="str">
        <f aca="false">A387</f>
        <v>A1.030.016</v>
      </c>
      <c r="J387" s="44"/>
      <c r="K387" s="46"/>
      <c r="L387" s="46"/>
      <c r="M387" s="60" t="n">
        <v>1</v>
      </c>
      <c r="N387" s="61" t="n">
        <v>1</v>
      </c>
      <c r="O387" s="61"/>
      <c r="P387" s="61" t="n">
        <v>1</v>
      </c>
      <c r="Q387" s="61" t="n">
        <v>0</v>
      </c>
      <c r="R387" s="61" t="n">
        <v>1</v>
      </c>
      <c r="S387" s="61" t="n">
        <v>0</v>
      </c>
      <c r="T387" s="61" t="n">
        <v>1</v>
      </c>
      <c r="U387" s="61" t="n">
        <v>1</v>
      </c>
      <c r="V387" s="61" t="n">
        <v>0</v>
      </c>
      <c r="W387" s="61" t="n">
        <v>0</v>
      </c>
      <c r="X387" s="61" t="n">
        <v>1</v>
      </c>
      <c r="Y387" s="61" t="n">
        <v>0</v>
      </c>
      <c r="Z387" s="61" t="n">
        <v>2</v>
      </c>
      <c r="AA387" s="61" t="n">
        <v>1</v>
      </c>
      <c r="AB387" s="61" t="n">
        <v>0</v>
      </c>
      <c r="AC387" s="61" t="n">
        <v>0</v>
      </c>
      <c r="AD387" s="62" t="n">
        <v>1</v>
      </c>
      <c r="AE387" s="28" t="n">
        <v>385</v>
      </c>
      <c r="AF387" s="50"/>
    </row>
    <row r="388" customFormat="false" ht="15" hidden="false" customHeight="true" outlineLevel="0" collapsed="false">
      <c r="A388" s="58" t="s">
        <v>798</v>
      </c>
      <c r="B388" s="46" t="s">
        <v>799</v>
      </c>
      <c r="C388" s="43" t="s">
        <v>611</v>
      </c>
      <c r="D388" s="44" t="s">
        <v>793</v>
      </c>
      <c r="E388" s="42" t="s">
        <v>43</v>
      </c>
      <c r="F388" s="46" t="n">
        <v>4</v>
      </c>
      <c r="G388" s="46" t="n">
        <v>2</v>
      </c>
      <c r="H388" s="46" t="s">
        <v>44</v>
      </c>
      <c r="I388" s="56" t="str">
        <f aca="false">A388</f>
        <v>A1.030.017</v>
      </c>
      <c r="J388" s="44"/>
      <c r="K388" s="46"/>
      <c r="L388" s="46"/>
      <c r="M388" s="60" t="n">
        <v>1</v>
      </c>
      <c r="N388" s="61" t="n">
        <v>1</v>
      </c>
      <c r="O388" s="61"/>
      <c r="P388" s="61" t="n">
        <v>1</v>
      </c>
      <c r="Q388" s="61" t="n">
        <v>0</v>
      </c>
      <c r="R388" s="61" t="n">
        <v>1</v>
      </c>
      <c r="S388" s="61" t="n">
        <v>0</v>
      </c>
      <c r="T388" s="61" t="n">
        <v>1</v>
      </c>
      <c r="U388" s="61" t="n">
        <v>1</v>
      </c>
      <c r="V388" s="61" t="n">
        <v>0</v>
      </c>
      <c r="W388" s="61" t="n">
        <v>0</v>
      </c>
      <c r="X388" s="61" t="n">
        <v>1</v>
      </c>
      <c r="Y388" s="61" t="n">
        <v>0</v>
      </c>
      <c r="Z388" s="61" t="n">
        <v>2</v>
      </c>
      <c r="AA388" s="61" t="n">
        <v>1</v>
      </c>
      <c r="AB388" s="61" t="n">
        <v>0</v>
      </c>
      <c r="AC388" s="61" t="n">
        <v>0</v>
      </c>
      <c r="AD388" s="62" t="n">
        <v>1</v>
      </c>
      <c r="AE388" s="28" t="n">
        <v>386</v>
      </c>
      <c r="AF388" s="50"/>
    </row>
    <row r="389" customFormat="false" ht="15.75" hidden="false" customHeight="true" outlineLevel="0" collapsed="false">
      <c r="A389" s="30" t="s">
        <v>800</v>
      </c>
      <c r="B389" s="31"/>
      <c r="C389" s="32"/>
      <c r="D389" s="33"/>
      <c r="E389" s="31"/>
      <c r="F389" s="31"/>
      <c r="G389" s="31"/>
      <c r="H389" s="31"/>
      <c r="I389" s="35"/>
      <c r="J389" s="33"/>
      <c r="K389" s="35"/>
      <c r="L389" s="35"/>
      <c r="M389" s="36" t="n">
        <f aca="false">SUM(M390:M418)</f>
        <v>29</v>
      </c>
      <c r="N389" s="37" t="n">
        <f aca="false">SUM(N390:N418)</f>
        <v>29</v>
      </c>
      <c r="O389" s="37"/>
      <c r="P389" s="37" t="n">
        <f aca="false">SUM(P390:P418)</f>
        <v>29</v>
      </c>
      <c r="Q389" s="65" t="n">
        <f aca="false">SUM(Q390:Q418)</f>
        <v>0</v>
      </c>
      <c r="R389" s="37" t="n">
        <f aca="false">SUM(R390:R418)</f>
        <v>56</v>
      </c>
      <c r="S389" s="37" t="n">
        <f aca="false">SUM(S390:S418)</f>
        <v>0</v>
      </c>
      <c r="T389" s="37" t="n">
        <f aca="false">SUM(T390:T418)</f>
        <v>37</v>
      </c>
      <c r="U389" s="37" t="n">
        <f aca="false">SUM(U390:U418)</f>
        <v>39</v>
      </c>
      <c r="V389" s="37" t="n">
        <f aca="false">SUM(V390:V418)</f>
        <v>0</v>
      </c>
      <c r="W389" s="37" t="n">
        <f aca="false">SUM(W390:W418)</f>
        <v>0</v>
      </c>
      <c r="X389" s="37" t="n">
        <f aca="false">SUM(X390:X418)</f>
        <v>205</v>
      </c>
      <c r="Y389" s="37" t="n">
        <f aca="false">SUM(Y390:Y418)</f>
        <v>0</v>
      </c>
      <c r="Z389" s="37" t="n">
        <f aca="false">SUM(Z390:Z418)</f>
        <v>143</v>
      </c>
      <c r="AA389" s="37" t="n">
        <f aca="false">SUM(AA390:AA418)</f>
        <v>46</v>
      </c>
      <c r="AB389" s="37" t="n">
        <f aca="false">SUM(AB390:AB418)</f>
        <v>166</v>
      </c>
      <c r="AC389" s="37" t="n">
        <f aca="false">SUM(AC390:AC418)</f>
        <v>30</v>
      </c>
      <c r="AD389" s="37" t="n">
        <f aca="false">SUM(AD390:AD418)</f>
        <v>0</v>
      </c>
      <c r="AE389" s="39" t="n">
        <v>387</v>
      </c>
      <c r="AF389" s="50"/>
    </row>
    <row r="390" customFormat="false" ht="15.75" hidden="false" customHeight="true" outlineLevel="0" collapsed="false">
      <c r="A390" s="41" t="s">
        <v>801</v>
      </c>
      <c r="B390" s="42" t="s">
        <v>802</v>
      </c>
      <c r="C390" s="43" t="s">
        <v>803</v>
      </c>
      <c r="D390" s="44" t="s">
        <v>804</v>
      </c>
      <c r="E390" s="42" t="s">
        <v>43</v>
      </c>
      <c r="F390" s="42" t="n">
        <v>1</v>
      </c>
      <c r="G390" s="42" t="n">
        <v>1</v>
      </c>
      <c r="H390" s="46" t="s">
        <v>184</v>
      </c>
      <c r="I390" s="56" t="str">
        <f aca="false">A390</f>
        <v>A1.020.050</v>
      </c>
      <c r="J390" s="44"/>
      <c r="K390" s="46"/>
      <c r="L390" s="46"/>
      <c r="M390" s="47" t="n">
        <v>1</v>
      </c>
      <c r="N390" s="48" t="n">
        <v>1</v>
      </c>
      <c r="O390" s="48"/>
      <c r="P390" s="48" t="n">
        <v>1</v>
      </c>
      <c r="Q390" s="61" t="n">
        <v>0</v>
      </c>
      <c r="R390" s="48" t="n">
        <v>2</v>
      </c>
      <c r="S390" s="48" t="n">
        <v>0</v>
      </c>
      <c r="T390" s="48" t="n">
        <v>1</v>
      </c>
      <c r="U390" s="48" t="n">
        <v>1</v>
      </c>
      <c r="V390" s="48" t="n">
        <v>0</v>
      </c>
      <c r="W390" s="48" t="n">
        <v>0</v>
      </c>
      <c r="X390" s="48" t="n">
        <v>15</v>
      </c>
      <c r="Y390" s="48" t="n">
        <v>0</v>
      </c>
      <c r="Z390" s="48" t="n">
        <v>16</v>
      </c>
      <c r="AA390" s="48" t="n">
        <v>3</v>
      </c>
      <c r="AB390" s="48" t="n">
        <v>10</v>
      </c>
      <c r="AC390" s="48" t="n">
        <v>1</v>
      </c>
      <c r="AD390" s="49" t="n">
        <v>0</v>
      </c>
      <c r="AE390" s="39" t="n">
        <v>388</v>
      </c>
      <c r="AF390" s="50"/>
    </row>
    <row r="391" customFormat="false" ht="15" hidden="false" customHeight="true" outlineLevel="0" collapsed="false">
      <c r="A391" s="58" t="s">
        <v>805</v>
      </c>
      <c r="B391" s="46" t="s">
        <v>806</v>
      </c>
      <c r="C391" s="43" t="s">
        <v>611</v>
      </c>
      <c r="D391" s="44" t="s">
        <v>804</v>
      </c>
      <c r="E391" s="42" t="s">
        <v>43</v>
      </c>
      <c r="F391" s="46" t="n">
        <v>3</v>
      </c>
      <c r="G391" s="46" t="n">
        <v>1</v>
      </c>
      <c r="H391" s="46" t="s">
        <v>187</v>
      </c>
      <c r="I391" s="56" t="str">
        <f aca="false">A391</f>
        <v>A1.020.083</v>
      </c>
      <c r="J391" s="44"/>
      <c r="K391" s="46"/>
      <c r="L391" s="46"/>
      <c r="M391" s="60" t="n">
        <v>1</v>
      </c>
      <c r="N391" s="61" t="n">
        <v>1</v>
      </c>
      <c r="O391" s="61"/>
      <c r="P391" s="61" t="n">
        <v>1</v>
      </c>
      <c r="Q391" s="61" t="n">
        <v>0</v>
      </c>
      <c r="R391" s="61" t="n">
        <v>1</v>
      </c>
      <c r="S391" s="61" t="n">
        <v>0</v>
      </c>
      <c r="T391" s="61" t="n">
        <v>1</v>
      </c>
      <c r="U391" s="61" t="n">
        <v>1</v>
      </c>
      <c r="V391" s="61" t="n">
        <v>0</v>
      </c>
      <c r="W391" s="61" t="n">
        <v>0</v>
      </c>
      <c r="X391" s="61" t="n">
        <v>1</v>
      </c>
      <c r="Y391" s="61" t="n">
        <v>0</v>
      </c>
      <c r="Z391" s="61" t="n">
        <v>1</v>
      </c>
      <c r="AA391" s="61" t="n">
        <v>1</v>
      </c>
      <c r="AB391" s="61" t="n">
        <v>1</v>
      </c>
      <c r="AC391" s="61" t="n">
        <v>1</v>
      </c>
      <c r="AD391" s="62" t="n">
        <v>0</v>
      </c>
      <c r="AE391" s="39" t="n">
        <v>389</v>
      </c>
      <c r="AF391" s="50"/>
    </row>
    <row r="392" customFormat="false" ht="15" hidden="false" customHeight="true" outlineLevel="0" collapsed="false">
      <c r="A392" s="58" t="s">
        <v>807</v>
      </c>
      <c r="B392" s="46" t="s">
        <v>808</v>
      </c>
      <c r="C392" s="43" t="s">
        <v>803</v>
      </c>
      <c r="D392" s="44" t="s">
        <v>804</v>
      </c>
      <c r="E392" s="42" t="s">
        <v>43</v>
      </c>
      <c r="F392" s="46" t="n">
        <v>7</v>
      </c>
      <c r="G392" s="46" t="n">
        <v>2</v>
      </c>
      <c r="H392" s="46" t="s">
        <v>44</v>
      </c>
      <c r="I392" s="45" t="s">
        <v>618</v>
      </c>
      <c r="J392" s="44"/>
      <c r="K392" s="46"/>
      <c r="L392" s="46"/>
      <c r="M392" s="60" t="n">
        <v>1</v>
      </c>
      <c r="N392" s="61" t="n">
        <v>1</v>
      </c>
      <c r="O392" s="61"/>
      <c r="P392" s="61" t="n">
        <v>1</v>
      </c>
      <c r="Q392" s="61" t="n">
        <v>0</v>
      </c>
      <c r="R392" s="61" t="n">
        <v>2</v>
      </c>
      <c r="S392" s="61" t="n">
        <v>0</v>
      </c>
      <c r="T392" s="61" t="n">
        <v>1</v>
      </c>
      <c r="U392" s="61" t="n">
        <v>1</v>
      </c>
      <c r="V392" s="61" t="n">
        <v>0</v>
      </c>
      <c r="W392" s="61" t="n">
        <v>0</v>
      </c>
      <c r="X392" s="61" t="n">
        <v>10</v>
      </c>
      <c r="Y392" s="61" t="n">
        <v>0</v>
      </c>
      <c r="Z392" s="61" t="n">
        <v>7</v>
      </c>
      <c r="AA392" s="61" t="n">
        <v>2</v>
      </c>
      <c r="AB392" s="61" t="n">
        <v>8</v>
      </c>
      <c r="AC392" s="61" t="n">
        <v>1</v>
      </c>
      <c r="AD392" s="62" t="n">
        <v>0</v>
      </c>
      <c r="AE392" s="28" t="n">
        <v>390</v>
      </c>
      <c r="AF392" s="50"/>
    </row>
    <row r="393" customFormat="false" ht="14.15" hidden="false" customHeight="false" outlineLevel="0" collapsed="false">
      <c r="A393" s="58" t="s">
        <v>809</v>
      </c>
      <c r="B393" s="46" t="s">
        <v>810</v>
      </c>
      <c r="C393" s="43" t="s">
        <v>803</v>
      </c>
      <c r="D393" s="44" t="s">
        <v>804</v>
      </c>
      <c r="E393" s="42" t="s">
        <v>43</v>
      </c>
      <c r="F393" s="46" t="n">
        <v>7</v>
      </c>
      <c r="G393" s="46" t="n">
        <v>2</v>
      </c>
      <c r="H393" s="46" t="s">
        <v>44</v>
      </c>
      <c r="I393" s="45" t="s">
        <v>45</v>
      </c>
      <c r="J393" s="44"/>
      <c r="K393" s="46"/>
      <c r="L393" s="46"/>
      <c r="M393" s="60" t="n">
        <v>1</v>
      </c>
      <c r="N393" s="61" t="n">
        <v>1</v>
      </c>
      <c r="O393" s="61"/>
      <c r="P393" s="61" t="n">
        <v>1</v>
      </c>
      <c r="Q393" s="61" t="n">
        <v>0</v>
      </c>
      <c r="R393" s="61" t="n">
        <v>3</v>
      </c>
      <c r="S393" s="61" t="n">
        <v>0</v>
      </c>
      <c r="T393" s="61" t="n">
        <v>1</v>
      </c>
      <c r="U393" s="61" t="n">
        <v>1</v>
      </c>
      <c r="V393" s="61" t="n">
        <v>0</v>
      </c>
      <c r="W393" s="61" t="n">
        <v>0</v>
      </c>
      <c r="X393" s="61" t="n">
        <v>10</v>
      </c>
      <c r="Y393" s="61" t="n">
        <v>0</v>
      </c>
      <c r="Z393" s="61" t="n">
        <v>7</v>
      </c>
      <c r="AA393" s="61" t="n">
        <v>3</v>
      </c>
      <c r="AB393" s="61" t="n">
        <v>10</v>
      </c>
      <c r="AC393" s="61" t="n">
        <v>2</v>
      </c>
      <c r="AD393" s="62" t="n">
        <v>0</v>
      </c>
      <c r="AE393" s="28" t="n">
        <v>391</v>
      </c>
      <c r="AF393" s="50"/>
    </row>
    <row r="394" customFormat="false" ht="14.15" hidden="false" customHeight="false" outlineLevel="0" collapsed="false">
      <c r="A394" s="58" t="s">
        <v>811</v>
      </c>
      <c r="B394" s="46" t="s">
        <v>812</v>
      </c>
      <c r="C394" s="43" t="s">
        <v>803</v>
      </c>
      <c r="D394" s="44" t="s">
        <v>804</v>
      </c>
      <c r="E394" s="42" t="s">
        <v>43</v>
      </c>
      <c r="F394" s="46" t="n">
        <v>5</v>
      </c>
      <c r="G394" s="46" t="n">
        <v>2</v>
      </c>
      <c r="H394" s="46" t="s">
        <v>44</v>
      </c>
      <c r="I394" s="45" t="s">
        <v>633</v>
      </c>
      <c r="J394" s="44"/>
      <c r="K394" s="46"/>
      <c r="L394" s="46"/>
      <c r="M394" s="60" t="n">
        <v>1</v>
      </c>
      <c r="N394" s="61" t="n">
        <v>1</v>
      </c>
      <c r="O394" s="61"/>
      <c r="P394" s="61" t="n">
        <v>1</v>
      </c>
      <c r="Q394" s="61" t="n">
        <v>0</v>
      </c>
      <c r="R394" s="61" t="n">
        <v>2</v>
      </c>
      <c r="S394" s="61" t="n">
        <v>0</v>
      </c>
      <c r="T394" s="61" t="n">
        <v>1</v>
      </c>
      <c r="U394" s="61" t="n">
        <v>1</v>
      </c>
      <c r="V394" s="61" t="n">
        <v>0</v>
      </c>
      <c r="W394" s="61" t="n">
        <v>0</v>
      </c>
      <c r="X394" s="61" t="n">
        <v>14</v>
      </c>
      <c r="Y394" s="61" t="n">
        <v>0</v>
      </c>
      <c r="Z394" s="61" t="n">
        <v>7</v>
      </c>
      <c r="AA394" s="61" t="n">
        <v>1</v>
      </c>
      <c r="AB394" s="61" t="n">
        <v>8</v>
      </c>
      <c r="AC394" s="61" t="n">
        <v>1</v>
      </c>
      <c r="AD394" s="62" t="n">
        <v>0</v>
      </c>
      <c r="AE394" s="39" t="n">
        <v>392</v>
      </c>
      <c r="AF394" s="50"/>
    </row>
    <row r="395" customFormat="false" ht="14.15" hidden="false" customHeight="false" outlineLevel="0" collapsed="false">
      <c r="A395" s="58" t="s">
        <v>813</v>
      </c>
      <c r="B395" s="46" t="s">
        <v>814</v>
      </c>
      <c r="C395" s="43" t="s">
        <v>611</v>
      </c>
      <c r="D395" s="44" t="s">
        <v>804</v>
      </c>
      <c r="E395" s="42" t="s">
        <v>43</v>
      </c>
      <c r="F395" s="46" t="n">
        <v>6</v>
      </c>
      <c r="G395" s="46" t="n">
        <v>2</v>
      </c>
      <c r="H395" s="46" t="s">
        <v>44</v>
      </c>
      <c r="I395" s="56" t="str">
        <f aca="false">A395</f>
        <v>A1.030.050</v>
      </c>
      <c r="J395" s="44"/>
      <c r="K395" s="46"/>
      <c r="L395" s="46"/>
      <c r="M395" s="60" t="n">
        <v>1</v>
      </c>
      <c r="N395" s="61" t="n">
        <v>1</v>
      </c>
      <c r="O395" s="61"/>
      <c r="P395" s="61" t="n">
        <v>1</v>
      </c>
      <c r="Q395" s="61" t="n">
        <v>0</v>
      </c>
      <c r="R395" s="61" t="n">
        <v>1</v>
      </c>
      <c r="S395" s="61" t="n">
        <v>0</v>
      </c>
      <c r="T395" s="61" t="n">
        <v>1</v>
      </c>
      <c r="U395" s="61" t="n">
        <v>1</v>
      </c>
      <c r="V395" s="61" t="n">
        <v>0</v>
      </c>
      <c r="W395" s="61" t="n">
        <v>0</v>
      </c>
      <c r="X395" s="61" t="n">
        <v>6</v>
      </c>
      <c r="Y395" s="61" t="n">
        <v>0</v>
      </c>
      <c r="Z395" s="61" t="n">
        <v>3</v>
      </c>
      <c r="AA395" s="61" t="n">
        <v>1</v>
      </c>
      <c r="AB395" s="61" t="n">
        <v>4</v>
      </c>
      <c r="AC395" s="61" t="n">
        <v>1</v>
      </c>
      <c r="AD395" s="62" t="n">
        <v>0</v>
      </c>
      <c r="AE395" s="39" t="n">
        <v>393</v>
      </c>
      <c r="AF395" s="50"/>
    </row>
    <row r="396" customFormat="false" ht="14.15" hidden="false" customHeight="false" outlineLevel="0" collapsed="false">
      <c r="A396" s="58" t="s">
        <v>815</v>
      </c>
      <c r="B396" s="46" t="s">
        <v>816</v>
      </c>
      <c r="C396" s="43" t="s">
        <v>611</v>
      </c>
      <c r="D396" s="44" t="s">
        <v>804</v>
      </c>
      <c r="E396" s="42" t="s">
        <v>43</v>
      </c>
      <c r="F396" s="46" t="n">
        <v>6</v>
      </c>
      <c r="G396" s="46" t="n">
        <v>2</v>
      </c>
      <c r="H396" s="46" t="s">
        <v>44</v>
      </c>
      <c r="I396" s="56" t="str">
        <f aca="false">A396</f>
        <v>A1.030.051</v>
      </c>
      <c r="J396" s="44"/>
      <c r="K396" s="46"/>
      <c r="L396" s="46"/>
      <c r="M396" s="60" t="n">
        <v>1</v>
      </c>
      <c r="N396" s="61" t="n">
        <v>1</v>
      </c>
      <c r="O396" s="61"/>
      <c r="P396" s="61" t="n">
        <v>1</v>
      </c>
      <c r="Q396" s="61" t="n">
        <v>0</v>
      </c>
      <c r="R396" s="61" t="n">
        <v>1</v>
      </c>
      <c r="S396" s="61" t="n">
        <v>0</v>
      </c>
      <c r="T396" s="61" t="n">
        <v>1</v>
      </c>
      <c r="U396" s="61" t="n">
        <v>1</v>
      </c>
      <c r="V396" s="61" t="n">
        <v>0</v>
      </c>
      <c r="W396" s="61" t="n">
        <v>0</v>
      </c>
      <c r="X396" s="61" t="n">
        <v>3</v>
      </c>
      <c r="Y396" s="61" t="n">
        <v>0</v>
      </c>
      <c r="Z396" s="61" t="n">
        <v>1</v>
      </c>
      <c r="AA396" s="61" t="n">
        <v>1</v>
      </c>
      <c r="AB396" s="61" t="n">
        <v>2</v>
      </c>
      <c r="AC396" s="61" t="n">
        <v>1</v>
      </c>
      <c r="AD396" s="62" t="n">
        <v>0</v>
      </c>
      <c r="AE396" s="39" t="n">
        <v>394</v>
      </c>
      <c r="AF396" s="50"/>
    </row>
    <row r="397" customFormat="false" ht="14.15" hidden="false" customHeight="false" outlineLevel="0" collapsed="false">
      <c r="A397" s="58" t="s">
        <v>817</v>
      </c>
      <c r="B397" s="46" t="s">
        <v>818</v>
      </c>
      <c r="C397" s="43" t="s">
        <v>611</v>
      </c>
      <c r="D397" s="44" t="s">
        <v>804</v>
      </c>
      <c r="E397" s="46" t="s">
        <v>57</v>
      </c>
      <c r="F397" s="46" t="n">
        <v>3</v>
      </c>
      <c r="G397" s="46" t="n">
        <v>1</v>
      </c>
      <c r="H397" s="46" t="s">
        <v>58</v>
      </c>
      <c r="I397" s="56" t="str">
        <f aca="false">A397</f>
        <v>A2.020.023</v>
      </c>
      <c r="J397" s="44"/>
      <c r="K397" s="46"/>
      <c r="L397" s="46"/>
      <c r="M397" s="60" t="n">
        <v>1</v>
      </c>
      <c r="N397" s="61" t="n">
        <v>1</v>
      </c>
      <c r="O397" s="61"/>
      <c r="P397" s="61" t="n">
        <v>1</v>
      </c>
      <c r="Q397" s="61" t="n">
        <v>0</v>
      </c>
      <c r="R397" s="61" t="n">
        <v>1</v>
      </c>
      <c r="S397" s="61" t="n">
        <v>0</v>
      </c>
      <c r="T397" s="61" t="n">
        <v>1</v>
      </c>
      <c r="U397" s="61" t="n">
        <v>1</v>
      </c>
      <c r="V397" s="61" t="n">
        <v>0</v>
      </c>
      <c r="W397" s="61" t="n">
        <v>0</v>
      </c>
      <c r="X397" s="61" t="n">
        <v>1</v>
      </c>
      <c r="Y397" s="61" t="n">
        <v>0</v>
      </c>
      <c r="Z397" s="61" t="n">
        <v>1</v>
      </c>
      <c r="AA397" s="61" t="n">
        <v>1</v>
      </c>
      <c r="AB397" s="61" t="n">
        <v>1</v>
      </c>
      <c r="AC397" s="61" t="n">
        <v>1</v>
      </c>
      <c r="AD397" s="62" t="n">
        <v>0</v>
      </c>
      <c r="AE397" s="28" t="n">
        <v>395</v>
      </c>
      <c r="AF397" s="50"/>
    </row>
    <row r="398" s="111" customFormat="true" ht="14.15" hidden="false" customHeight="false" outlineLevel="0" collapsed="false">
      <c r="A398" s="102" t="s">
        <v>819</v>
      </c>
      <c r="B398" s="103" t="s">
        <v>820</v>
      </c>
      <c r="C398" s="104" t="s">
        <v>611</v>
      </c>
      <c r="D398" s="105" t="s">
        <v>804</v>
      </c>
      <c r="E398" s="46" t="s">
        <v>57</v>
      </c>
      <c r="F398" s="103" t="n">
        <v>3</v>
      </c>
      <c r="G398" s="103"/>
      <c r="H398" s="103" t="s">
        <v>58</v>
      </c>
      <c r="I398" s="106" t="str">
        <f aca="false">A398</f>
        <v>A2.020.028</v>
      </c>
      <c r="J398" s="105"/>
      <c r="K398" s="103"/>
      <c r="L398" s="103"/>
      <c r="M398" s="107" t="n">
        <v>1</v>
      </c>
      <c r="N398" s="108" t="n">
        <v>1</v>
      </c>
      <c r="O398" s="108"/>
      <c r="P398" s="108" t="n">
        <v>1</v>
      </c>
      <c r="Q398" s="108" t="n">
        <v>0</v>
      </c>
      <c r="R398" s="108" t="n">
        <v>1</v>
      </c>
      <c r="S398" s="108" t="n">
        <v>0</v>
      </c>
      <c r="T398" s="108" t="n">
        <v>1</v>
      </c>
      <c r="U398" s="108" t="n">
        <v>1</v>
      </c>
      <c r="V398" s="108" t="n">
        <v>0</v>
      </c>
      <c r="W398" s="108" t="n">
        <v>0</v>
      </c>
      <c r="X398" s="108" t="n">
        <v>2</v>
      </c>
      <c r="Y398" s="108" t="n">
        <v>0</v>
      </c>
      <c r="Z398" s="108" t="n">
        <v>2</v>
      </c>
      <c r="AA398" s="108" t="n">
        <v>2</v>
      </c>
      <c r="AB398" s="108" t="n">
        <v>1</v>
      </c>
      <c r="AC398" s="108" t="n">
        <v>1</v>
      </c>
      <c r="AD398" s="109" t="n">
        <v>0</v>
      </c>
      <c r="AE398" s="28" t="n">
        <v>396</v>
      </c>
      <c r="AF398" s="110"/>
    </row>
    <row r="399" customFormat="false" ht="14.15" hidden="false" customHeight="false" outlineLevel="0" collapsed="false">
      <c r="A399" s="58" t="s">
        <v>229</v>
      </c>
      <c r="B399" s="46" t="s">
        <v>821</v>
      </c>
      <c r="C399" s="43" t="s">
        <v>611</v>
      </c>
      <c r="D399" s="44" t="s">
        <v>804</v>
      </c>
      <c r="E399" s="46" t="s">
        <v>57</v>
      </c>
      <c r="F399" s="46" t="n">
        <v>3</v>
      </c>
      <c r="G399" s="46" t="n">
        <v>1</v>
      </c>
      <c r="H399" s="46" t="s">
        <v>58</v>
      </c>
      <c r="I399" s="56" t="str">
        <f aca="false">A399</f>
        <v>A2.020.029</v>
      </c>
      <c r="J399" s="44"/>
      <c r="K399" s="46"/>
      <c r="L399" s="46"/>
      <c r="M399" s="60" t="n">
        <v>1</v>
      </c>
      <c r="N399" s="61" t="n">
        <v>1</v>
      </c>
      <c r="O399" s="61"/>
      <c r="P399" s="61" t="n">
        <v>1</v>
      </c>
      <c r="Q399" s="61" t="n">
        <v>0</v>
      </c>
      <c r="R399" s="61" t="n">
        <v>1</v>
      </c>
      <c r="S399" s="61" t="n">
        <v>0</v>
      </c>
      <c r="T399" s="61" t="n">
        <v>1</v>
      </c>
      <c r="U399" s="61" t="n">
        <v>1</v>
      </c>
      <c r="V399" s="61" t="n">
        <v>0</v>
      </c>
      <c r="W399" s="61" t="n">
        <v>0</v>
      </c>
      <c r="X399" s="61" t="n">
        <v>7</v>
      </c>
      <c r="Y399" s="61" t="n">
        <v>0</v>
      </c>
      <c r="Z399" s="61" t="n">
        <v>1</v>
      </c>
      <c r="AA399" s="61" t="n">
        <v>1</v>
      </c>
      <c r="AB399" s="61" t="n">
        <v>1</v>
      </c>
      <c r="AC399" s="61" t="n">
        <v>1</v>
      </c>
      <c r="AD399" s="62" t="n">
        <v>0</v>
      </c>
      <c r="AE399" s="39" t="n">
        <v>397</v>
      </c>
      <c r="AF399" s="50"/>
    </row>
    <row r="400" customFormat="false" ht="14.15" hidden="false" customHeight="false" outlineLevel="0" collapsed="false">
      <c r="A400" s="58" t="s">
        <v>822</v>
      </c>
      <c r="B400" s="46" t="s">
        <v>823</v>
      </c>
      <c r="C400" s="43" t="s">
        <v>803</v>
      </c>
      <c r="D400" s="44" t="s">
        <v>804</v>
      </c>
      <c r="E400" s="46" t="s">
        <v>57</v>
      </c>
      <c r="F400" s="46" t="n">
        <v>5</v>
      </c>
      <c r="G400" s="46" t="n">
        <v>2</v>
      </c>
      <c r="H400" s="46" t="s">
        <v>58</v>
      </c>
      <c r="I400" s="45" t="s">
        <v>654</v>
      </c>
      <c r="J400" s="44"/>
      <c r="K400" s="46"/>
      <c r="L400" s="46"/>
      <c r="M400" s="60" t="n">
        <v>1</v>
      </c>
      <c r="N400" s="61" t="n">
        <v>1</v>
      </c>
      <c r="O400" s="61"/>
      <c r="P400" s="61" t="n">
        <v>1</v>
      </c>
      <c r="Q400" s="61" t="n">
        <v>0</v>
      </c>
      <c r="R400" s="61" t="n">
        <v>3</v>
      </c>
      <c r="S400" s="61" t="n">
        <v>0</v>
      </c>
      <c r="T400" s="61" t="n">
        <v>1</v>
      </c>
      <c r="U400" s="61" t="n">
        <v>1</v>
      </c>
      <c r="V400" s="61" t="n">
        <v>0</v>
      </c>
      <c r="W400" s="61" t="n">
        <v>0</v>
      </c>
      <c r="X400" s="61" t="n">
        <v>12</v>
      </c>
      <c r="Y400" s="61" t="n">
        <v>0</v>
      </c>
      <c r="Z400" s="61" t="n">
        <v>8</v>
      </c>
      <c r="AA400" s="61" t="n">
        <v>2</v>
      </c>
      <c r="AB400" s="61" t="n">
        <v>10</v>
      </c>
      <c r="AC400" s="61" t="n">
        <v>1</v>
      </c>
      <c r="AD400" s="62" t="n">
        <v>0</v>
      </c>
      <c r="AE400" s="39" t="n">
        <v>398</v>
      </c>
      <c r="AF400" s="50"/>
    </row>
    <row r="401" customFormat="false" ht="14.15" hidden="false" customHeight="false" outlineLevel="0" collapsed="false">
      <c r="A401" s="58" t="s">
        <v>824</v>
      </c>
      <c r="B401" s="46" t="s">
        <v>825</v>
      </c>
      <c r="C401" s="43" t="s">
        <v>803</v>
      </c>
      <c r="D401" s="44" t="s">
        <v>804</v>
      </c>
      <c r="E401" s="46" t="s">
        <v>57</v>
      </c>
      <c r="F401" s="46" t="n">
        <v>5</v>
      </c>
      <c r="G401" s="46" t="n">
        <v>2</v>
      </c>
      <c r="H401" s="46" t="s">
        <v>58</v>
      </c>
      <c r="I401" s="45" t="s">
        <v>714</v>
      </c>
      <c r="J401" s="44"/>
      <c r="K401" s="46"/>
      <c r="L401" s="46"/>
      <c r="M401" s="60" t="n">
        <v>1</v>
      </c>
      <c r="N401" s="61" t="n">
        <v>1</v>
      </c>
      <c r="O401" s="61"/>
      <c r="P401" s="61" t="n">
        <v>1</v>
      </c>
      <c r="Q401" s="61" t="n">
        <v>0</v>
      </c>
      <c r="R401" s="61" t="n">
        <v>3</v>
      </c>
      <c r="S401" s="61" t="n">
        <v>0</v>
      </c>
      <c r="T401" s="61" t="n">
        <v>1</v>
      </c>
      <c r="U401" s="61" t="n">
        <v>2</v>
      </c>
      <c r="V401" s="61" t="n">
        <v>0</v>
      </c>
      <c r="W401" s="61" t="n">
        <v>0</v>
      </c>
      <c r="X401" s="61" t="n">
        <v>18</v>
      </c>
      <c r="Y401" s="61" t="n">
        <v>0</v>
      </c>
      <c r="Z401" s="61" t="n">
        <v>9</v>
      </c>
      <c r="AA401" s="61" t="n">
        <v>2</v>
      </c>
      <c r="AB401" s="61" t="n">
        <v>12</v>
      </c>
      <c r="AC401" s="61" t="n">
        <v>1</v>
      </c>
      <c r="AD401" s="62" t="n">
        <v>0</v>
      </c>
      <c r="AE401" s="39" t="n">
        <v>399</v>
      </c>
      <c r="AF401" s="50"/>
    </row>
    <row r="402" customFormat="false" ht="15" hidden="false" customHeight="true" outlineLevel="0" collapsed="false">
      <c r="A402" s="58" t="s">
        <v>826</v>
      </c>
      <c r="B402" s="46" t="s">
        <v>827</v>
      </c>
      <c r="C402" s="43" t="s">
        <v>803</v>
      </c>
      <c r="D402" s="44" t="s">
        <v>804</v>
      </c>
      <c r="E402" s="46" t="s">
        <v>57</v>
      </c>
      <c r="F402" s="46" t="n">
        <v>6</v>
      </c>
      <c r="G402" s="46" t="n">
        <v>2</v>
      </c>
      <c r="H402" s="46" t="s">
        <v>58</v>
      </c>
      <c r="I402" s="45" t="s">
        <v>242</v>
      </c>
      <c r="J402" s="44"/>
      <c r="K402" s="46"/>
      <c r="L402" s="46"/>
      <c r="M402" s="60" t="n">
        <v>1</v>
      </c>
      <c r="N402" s="61" t="n">
        <v>1</v>
      </c>
      <c r="O402" s="61"/>
      <c r="P402" s="61" t="n">
        <v>1</v>
      </c>
      <c r="Q402" s="61" t="n">
        <v>0</v>
      </c>
      <c r="R402" s="61" t="n">
        <v>3</v>
      </c>
      <c r="S402" s="61" t="n">
        <v>0</v>
      </c>
      <c r="T402" s="61" t="n">
        <v>1</v>
      </c>
      <c r="U402" s="61" t="n">
        <v>2</v>
      </c>
      <c r="V402" s="61" t="n">
        <v>0</v>
      </c>
      <c r="W402" s="61" t="n">
        <v>0</v>
      </c>
      <c r="X402" s="61" t="n">
        <v>10</v>
      </c>
      <c r="Y402" s="61" t="n">
        <v>0</v>
      </c>
      <c r="Z402" s="61" t="n">
        <v>8</v>
      </c>
      <c r="AA402" s="61" t="n">
        <v>2</v>
      </c>
      <c r="AB402" s="61" t="n">
        <v>10</v>
      </c>
      <c r="AC402" s="61" t="n">
        <v>1</v>
      </c>
      <c r="AD402" s="62" t="n">
        <v>0</v>
      </c>
      <c r="AE402" s="28" t="n">
        <v>400</v>
      </c>
      <c r="AF402" s="50"/>
    </row>
    <row r="403" customFormat="false" ht="14.15" hidden="false" customHeight="false" outlineLevel="0" collapsed="false">
      <c r="A403" s="58" t="s">
        <v>828</v>
      </c>
      <c r="B403" s="46" t="s">
        <v>829</v>
      </c>
      <c r="C403" s="43" t="s">
        <v>803</v>
      </c>
      <c r="D403" s="44" t="s">
        <v>804</v>
      </c>
      <c r="E403" s="46" t="s">
        <v>71</v>
      </c>
      <c r="F403" s="46" t="n">
        <v>4</v>
      </c>
      <c r="G403" s="46" t="n">
        <v>1</v>
      </c>
      <c r="H403" s="46" t="s">
        <v>72</v>
      </c>
      <c r="I403" s="45" t="s">
        <v>721</v>
      </c>
      <c r="J403" s="44"/>
      <c r="K403" s="46"/>
      <c r="L403" s="46"/>
      <c r="M403" s="60" t="n">
        <v>1</v>
      </c>
      <c r="N403" s="61" t="n">
        <v>1</v>
      </c>
      <c r="O403" s="61"/>
      <c r="P403" s="61" t="n">
        <v>1</v>
      </c>
      <c r="Q403" s="61" t="n">
        <v>0</v>
      </c>
      <c r="R403" s="61" t="n">
        <v>3</v>
      </c>
      <c r="S403" s="61" t="n">
        <v>0</v>
      </c>
      <c r="T403" s="61" t="n">
        <v>2</v>
      </c>
      <c r="U403" s="61" t="n">
        <v>2</v>
      </c>
      <c r="V403" s="61" t="n">
        <v>0</v>
      </c>
      <c r="W403" s="61" t="n">
        <v>0</v>
      </c>
      <c r="X403" s="61" t="n">
        <v>11</v>
      </c>
      <c r="Y403" s="61" t="n">
        <v>0</v>
      </c>
      <c r="Z403" s="61" t="n">
        <v>8</v>
      </c>
      <c r="AA403" s="61" t="n">
        <v>2</v>
      </c>
      <c r="AB403" s="61" t="n">
        <v>10</v>
      </c>
      <c r="AC403" s="61" t="n">
        <v>1</v>
      </c>
      <c r="AD403" s="62" t="n">
        <v>0</v>
      </c>
      <c r="AE403" s="28" t="n">
        <v>401</v>
      </c>
      <c r="AF403" s="50"/>
    </row>
    <row r="404" customFormat="false" ht="14.15" hidden="false" customHeight="false" outlineLevel="0" collapsed="false">
      <c r="A404" s="58" t="s">
        <v>830</v>
      </c>
      <c r="B404" s="46" t="s">
        <v>831</v>
      </c>
      <c r="C404" s="43" t="s">
        <v>611</v>
      </c>
      <c r="D404" s="44" t="s">
        <v>804</v>
      </c>
      <c r="E404" s="46" t="s">
        <v>71</v>
      </c>
      <c r="F404" s="46" t="n">
        <v>4</v>
      </c>
      <c r="G404" s="46" t="n">
        <v>1</v>
      </c>
      <c r="H404" s="46" t="s">
        <v>72</v>
      </c>
      <c r="I404" s="56" t="str">
        <f aca="false">A404</f>
        <v>S1.030.103</v>
      </c>
      <c r="J404" s="44"/>
      <c r="K404" s="46"/>
      <c r="L404" s="46"/>
      <c r="M404" s="60" t="n">
        <v>1</v>
      </c>
      <c r="N404" s="61" t="n">
        <v>1</v>
      </c>
      <c r="O404" s="61"/>
      <c r="P404" s="61" t="n">
        <v>1</v>
      </c>
      <c r="Q404" s="61" t="n">
        <v>0</v>
      </c>
      <c r="R404" s="61" t="n">
        <v>1</v>
      </c>
      <c r="S404" s="61" t="n">
        <v>0</v>
      </c>
      <c r="T404" s="61" t="n">
        <v>1</v>
      </c>
      <c r="U404" s="61" t="n">
        <v>1</v>
      </c>
      <c r="V404" s="61" t="n">
        <v>0</v>
      </c>
      <c r="W404" s="61" t="n">
        <v>0</v>
      </c>
      <c r="X404" s="61" t="n">
        <v>1</v>
      </c>
      <c r="Y404" s="61" t="n">
        <v>0</v>
      </c>
      <c r="Z404" s="61" t="n">
        <v>1</v>
      </c>
      <c r="AA404" s="61" t="n">
        <v>1</v>
      </c>
      <c r="AB404" s="61" t="n">
        <v>1</v>
      </c>
      <c r="AC404" s="61" t="n">
        <v>1</v>
      </c>
      <c r="AD404" s="62" t="n">
        <v>0</v>
      </c>
      <c r="AE404" s="39" t="n">
        <v>402</v>
      </c>
      <c r="AF404" s="50"/>
    </row>
    <row r="405" customFormat="false" ht="15" hidden="false" customHeight="true" outlineLevel="0" collapsed="false">
      <c r="A405" s="58" t="s">
        <v>832</v>
      </c>
      <c r="B405" s="46" t="s">
        <v>833</v>
      </c>
      <c r="C405" s="43" t="s">
        <v>803</v>
      </c>
      <c r="D405" s="44" t="s">
        <v>804</v>
      </c>
      <c r="E405" s="46" t="s">
        <v>83</v>
      </c>
      <c r="F405" s="46" t="n">
        <v>4</v>
      </c>
      <c r="G405" s="46" t="n">
        <v>1</v>
      </c>
      <c r="H405" s="46" t="s">
        <v>84</v>
      </c>
      <c r="I405" s="45" t="s">
        <v>297</v>
      </c>
      <c r="J405" s="44"/>
      <c r="K405" s="46"/>
      <c r="L405" s="46"/>
      <c r="M405" s="60" t="n">
        <v>1</v>
      </c>
      <c r="N405" s="61" t="n">
        <v>1</v>
      </c>
      <c r="O405" s="61"/>
      <c r="P405" s="61" t="n">
        <v>1</v>
      </c>
      <c r="Q405" s="61" t="n">
        <v>0</v>
      </c>
      <c r="R405" s="61" t="n">
        <v>3</v>
      </c>
      <c r="S405" s="61" t="n">
        <v>0</v>
      </c>
      <c r="T405" s="61" t="n">
        <v>2</v>
      </c>
      <c r="U405" s="61" t="n">
        <v>2</v>
      </c>
      <c r="V405" s="61" t="n">
        <v>0</v>
      </c>
      <c r="W405" s="61" t="n">
        <v>0</v>
      </c>
      <c r="X405" s="61" t="n">
        <v>11</v>
      </c>
      <c r="Y405" s="61" t="n">
        <v>0</v>
      </c>
      <c r="Z405" s="61" t="n">
        <v>8</v>
      </c>
      <c r="AA405" s="61" t="n">
        <v>2</v>
      </c>
      <c r="AB405" s="61" t="n">
        <v>10</v>
      </c>
      <c r="AC405" s="61" t="n">
        <v>1</v>
      </c>
      <c r="AD405" s="62" t="n">
        <v>0</v>
      </c>
      <c r="AE405" s="39" t="n">
        <v>403</v>
      </c>
      <c r="AF405" s="50"/>
    </row>
    <row r="406" customFormat="false" ht="14.15" hidden="false" customHeight="false" outlineLevel="0" collapsed="false">
      <c r="A406" s="58" t="s">
        <v>834</v>
      </c>
      <c r="B406" s="46" t="s">
        <v>835</v>
      </c>
      <c r="C406" s="43" t="s">
        <v>611</v>
      </c>
      <c r="D406" s="44" t="s">
        <v>804</v>
      </c>
      <c r="E406" s="46" t="s">
        <v>83</v>
      </c>
      <c r="F406" s="46" t="n">
        <v>4</v>
      </c>
      <c r="G406" s="46" t="n">
        <v>1</v>
      </c>
      <c r="H406" s="46" t="s">
        <v>84</v>
      </c>
      <c r="I406" s="56" t="str">
        <f aca="false">A406</f>
        <v>S2.030.203</v>
      </c>
      <c r="J406" s="44"/>
      <c r="K406" s="46"/>
      <c r="L406" s="46"/>
      <c r="M406" s="60" t="n">
        <v>1</v>
      </c>
      <c r="N406" s="61" t="n">
        <v>1</v>
      </c>
      <c r="O406" s="61"/>
      <c r="P406" s="61" t="n">
        <v>1</v>
      </c>
      <c r="Q406" s="61" t="n">
        <v>0</v>
      </c>
      <c r="R406" s="61" t="n">
        <v>1</v>
      </c>
      <c r="S406" s="61" t="n">
        <v>0</v>
      </c>
      <c r="T406" s="61" t="n">
        <v>1</v>
      </c>
      <c r="U406" s="61" t="n">
        <v>1</v>
      </c>
      <c r="V406" s="61" t="n">
        <v>0</v>
      </c>
      <c r="W406" s="61" t="n">
        <v>0</v>
      </c>
      <c r="X406" s="61" t="n">
        <v>1</v>
      </c>
      <c r="Y406" s="61" t="n">
        <v>0</v>
      </c>
      <c r="Z406" s="61" t="n">
        <v>1</v>
      </c>
      <c r="AA406" s="61" t="n">
        <v>1</v>
      </c>
      <c r="AB406" s="61" t="n">
        <v>1</v>
      </c>
      <c r="AC406" s="61" t="n">
        <v>1</v>
      </c>
      <c r="AD406" s="62" t="n">
        <v>0</v>
      </c>
      <c r="AE406" s="39" t="n">
        <v>404</v>
      </c>
      <c r="AF406" s="50"/>
    </row>
    <row r="407" customFormat="false" ht="15" hidden="false" customHeight="true" outlineLevel="0" collapsed="false">
      <c r="A407" s="58" t="s">
        <v>836</v>
      </c>
      <c r="B407" s="64" t="s">
        <v>837</v>
      </c>
      <c r="C407" s="43" t="s">
        <v>803</v>
      </c>
      <c r="D407" s="44" t="s">
        <v>804</v>
      </c>
      <c r="E407" s="46" t="s">
        <v>95</v>
      </c>
      <c r="F407" s="46" t="n">
        <v>4</v>
      </c>
      <c r="G407" s="46" t="n">
        <v>1</v>
      </c>
      <c r="H407" s="46" t="s">
        <v>96</v>
      </c>
      <c r="I407" s="45" t="s">
        <v>330</v>
      </c>
      <c r="J407" s="44"/>
      <c r="K407" s="46"/>
      <c r="L407" s="46"/>
      <c r="M407" s="60" t="n">
        <v>1</v>
      </c>
      <c r="N407" s="61" t="n">
        <v>1</v>
      </c>
      <c r="O407" s="61"/>
      <c r="P407" s="61" t="n">
        <v>1</v>
      </c>
      <c r="Q407" s="61" t="n">
        <v>0</v>
      </c>
      <c r="R407" s="61" t="n">
        <v>3</v>
      </c>
      <c r="S407" s="61" t="n">
        <v>0</v>
      </c>
      <c r="T407" s="61" t="n">
        <v>2</v>
      </c>
      <c r="U407" s="61" t="n">
        <v>2</v>
      </c>
      <c r="V407" s="61" t="n">
        <v>0</v>
      </c>
      <c r="W407" s="61" t="n">
        <v>0</v>
      </c>
      <c r="X407" s="61" t="n">
        <v>11</v>
      </c>
      <c r="Y407" s="61" t="n">
        <v>0</v>
      </c>
      <c r="Z407" s="61" t="n">
        <v>8</v>
      </c>
      <c r="AA407" s="61" t="n">
        <v>2</v>
      </c>
      <c r="AB407" s="61" t="n">
        <v>10</v>
      </c>
      <c r="AC407" s="61" t="n">
        <v>1</v>
      </c>
      <c r="AD407" s="62" t="n">
        <v>0</v>
      </c>
      <c r="AE407" s="28" t="n">
        <v>405</v>
      </c>
      <c r="AF407" s="50"/>
    </row>
    <row r="408" customFormat="false" ht="15" hidden="false" customHeight="true" outlineLevel="0" collapsed="false">
      <c r="A408" s="58" t="s">
        <v>838</v>
      </c>
      <c r="B408" s="64" t="s">
        <v>839</v>
      </c>
      <c r="C408" s="43" t="s">
        <v>611</v>
      </c>
      <c r="D408" s="44" t="s">
        <v>804</v>
      </c>
      <c r="E408" s="46" t="s">
        <v>95</v>
      </c>
      <c r="F408" s="46" t="n">
        <v>4</v>
      </c>
      <c r="G408" s="46" t="n">
        <v>1</v>
      </c>
      <c r="H408" s="46" t="s">
        <v>96</v>
      </c>
      <c r="I408" s="56" t="str">
        <f aca="false">A408</f>
        <v>S3.030.303</v>
      </c>
      <c r="J408" s="44"/>
      <c r="K408" s="46"/>
      <c r="L408" s="46"/>
      <c r="M408" s="60" t="n">
        <v>1</v>
      </c>
      <c r="N408" s="61" t="n">
        <v>1</v>
      </c>
      <c r="O408" s="61"/>
      <c r="P408" s="61" t="n">
        <v>1</v>
      </c>
      <c r="Q408" s="61" t="n">
        <v>0</v>
      </c>
      <c r="R408" s="61" t="n">
        <v>1</v>
      </c>
      <c r="S408" s="61" t="n">
        <v>0</v>
      </c>
      <c r="T408" s="61" t="n">
        <v>1</v>
      </c>
      <c r="U408" s="61" t="n">
        <v>1</v>
      </c>
      <c r="V408" s="61" t="n">
        <v>0</v>
      </c>
      <c r="W408" s="61" t="n">
        <v>0</v>
      </c>
      <c r="X408" s="61" t="n">
        <v>1</v>
      </c>
      <c r="Y408" s="61" t="n">
        <v>0</v>
      </c>
      <c r="Z408" s="61" t="n">
        <v>1</v>
      </c>
      <c r="AA408" s="61" t="n">
        <v>1</v>
      </c>
      <c r="AB408" s="61" t="n">
        <v>1</v>
      </c>
      <c r="AC408" s="61" t="n">
        <v>1</v>
      </c>
      <c r="AD408" s="62" t="n">
        <v>0</v>
      </c>
      <c r="AE408" s="28" t="n">
        <v>406</v>
      </c>
      <c r="AF408" s="50"/>
    </row>
    <row r="409" customFormat="false" ht="14.15" hidden="false" customHeight="false" outlineLevel="0" collapsed="false">
      <c r="A409" s="58" t="s">
        <v>840</v>
      </c>
      <c r="B409" s="46" t="s">
        <v>841</v>
      </c>
      <c r="C409" s="43" t="s">
        <v>803</v>
      </c>
      <c r="D409" s="44" t="s">
        <v>804</v>
      </c>
      <c r="E409" s="46" t="s">
        <v>107</v>
      </c>
      <c r="F409" s="46" t="n">
        <v>4</v>
      </c>
      <c r="G409" s="46" t="n">
        <v>1</v>
      </c>
      <c r="H409" s="46" t="s">
        <v>108</v>
      </c>
      <c r="I409" s="45" t="s">
        <v>363</v>
      </c>
      <c r="J409" s="44"/>
      <c r="K409" s="46"/>
      <c r="L409" s="46"/>
      <c r="M409" s="60" t="n">
        <v>1</v>
      </c>
      <c r="N409" s="61" t="n">
        <v>1</v>
      </c>
      <c r="O409" s="61"/>
      <c r="P409" s="61" t="n">
        <v>1</v>
      </c>
      <c r="Q409" s="61" t="n">
        <v>0</v>
      </c>
      <c r="R409" s="61" t="n">
        <v>3</v>
      </c>
      <c r="S409" s="61" t="n">
        <v>0</v>
      </c>
      <c r="T409" s="61" t="n">
        <v>2</v>
      </c>
      <c r="U409" s="61" t="n">
        <v>2</v>
      </c>
      <c r="V409" s="61" t="n">
        <v>0</v>
      </c>
      <c r="W409" s="61" t="n">
        <v>0</v>
      </c>
      <c r="X409" s="61" t="n">
        <v>11</v>
      </c>
      <c r="Y409" s="61" t="n">
        <v>0</v>
      </c>
      <c r="Z409" s="61" t="n">
        <v>8</v>
      </c>
      <c r="AA409" s="61" t="n">
        <v>2</v>
      </c>
      <c r="AB409" s="61" t="n">
        <v>10</v>
      </c>
      <c r="AC409" s="61" t="n">
        <v>1</v>
      </c>
      <c r="AD409" s="62" t="n">
        <v>0</v>
      </c>
      <c r="AE409" s="39" t="n">
        <v>407</v>
      </c>
      <c r="AF409" s="50"/>
    </row>
    <row r="410" customFormat="false" ht="14.15" hidden="false" customHeight="false" outlineLevel="0" collapsed="false">
      <c r="A410" s="58" t="s">
        <v>842</v>
      </c>
      <c r="B410" s="46" t="s">
        <v>843</v>
      </c>
      <c r="C410" s="43" t="s">
        <v>611</v>
      </c>
      <c r="D410" s="44" t="s">
        <v>804</v>
      </c>
      <c r="E410" s="46" t="s">
        <v>107</v>
      </c>
      <c r="F410" s="46" t="n">
        <v>4</v>
      </c>
      <c r="G410" s="46" t="n">
        <v>1</v>
      </c>
      <c r="H410" s="46" t="s">
        <v>108</v>
      </c>
      <c r="I410" s="56" t="str">
        <f aca="false">A410</f>
        <v>S4.030.403</v>
      </c>
      <c r="J410" s="44"/>
      <c r="K410" s="46"/>
      <c r="L410" s="46"/>
      <c r="M410" s="60" t="n">
        <v>1</v>
      </c>
      <c r="N410" s="61" t="n">
        <v>1</v>
      </c>
      <c r="O410" s="61"/>
      <c r="P410" s="61" t="n">
        <v>1</v>
      </c>
      <c r="Q410" s="61" t="n">
        <v>0</v>
      </c>
      <c r="R410" s="61" t="n">
        <v>1</v>
      </c>
      <c r="S410" s="61" t="n">
        <v>0</v>
      </c>
      <c r="T410" s="61" t="n">
        <v>1</v>
      </c>
      <c r="U410" s="61" t="n">
        <v>1</v>
      </c>
      <c r="V410" s="61" t="n">
        <v>0</v>
      </c>
      <c r="W410" s="61" t="n">
        <v>0</v>
      </c>
      <c r="X410" s="61" t="n">
        <v>1</v>
      </c>
      <c r="Y410" s="61" t="n">
        <v>0</v>
      </c>
      <c r="Z410" s="61" t="n">
        <v>1</v>
      </c>
      <c r="AA410" s="61" t="n">
        <v>1</v>
      </c>
      <c r="AB410" s="61" t="n">
        <v>1</v>
      </c>
      <c r="AC410" s="61" t="n">
        <v>1</v>
      </c>
      <c r="AD410" s="62" t="n">
        <v>0</v>
      </c>
      <c r="AE410" s="39" t="n">
        <v>408</v>
      </c>
      <c r="AF410" s="50"/>
    </row>
    <row r="411" customFormat="false" ht="14.15" hidden="false" customHeight="false" outlineLevel="0" collapsed="false">
      <c r="A411" s="58" t="s">
        <v>844</v>
      </c>
      <c r="B411" s="46" t="s">
        <v>845</v>
      </c>
      <c r="C411" s="43" t="s">
        <v>803</v>
      </c>
      <c r="D411" s="44" t="s">
        <v>804</v>
      </c>
      <c r="E411" s="46" t="s">
        <v>119</v>
      </c>
      <c r="F411" s="46" t="n">
        <v>4</v>
      </c>
      <c r="G411" s="46" t="n">
        <v>1</v>
      </c>
      <c r="H411" s="46" t="s">
        <v>120</v>
      </c>
      <c r="I411" s="45" t="s">
        <v>396</v>
      </c>
      <c r="J411" s="44"/>
      <c r="K411" s="46"/>
      <c r="L411" s="46"/>
      <c r="M411" s="60" t="n">
        <v>1</v>
      </c>
      <c r="N411" s="61" t="n">
        <v>1</v>
      </c>
      <c r="O411" s="61"/>
      <c r="P411" s="61" t="n">
        <v>1</v>
      </c>
      <c r="Q411" s="61" t="n">
        <v>0</v>
      </c>
      <c r="R411" s="61" t="n">
        <v>3</v>
      </c>
      <c r="S411" s="61" t="n">
        <v>0</v>
      </c>
      <c r="T411" s="61" t="n">
        <v>2</v>
      </c>
      <c r="U411" s="61" t="n">
        <v>2</v>
      </c>
      <c r="V411" s="61" t="n">
        <v>0</v>
      </c>
      <c r="W411" s="61" t="n">
        <v>0</v>
      </c>
      <c r="X411" s="61" t="n">
        <v>11</v>
      </c>
      <c r="Y411" s="61" t="n">
        <v>0</v>
      </c>
      <c r="Z411" s="61" t="n">
        <v>8</v>
      </c>
      <c r="AA411" s="61" t="n">
        <v>2</v>
      </c>
      <c r="AB411" s="61" t="n">
        <v>10</v>
      </c>
      <c r="AC411" s="61" t="n">
        <v>1</v>
      </c>
      <c r="AD411" s="62" t="n">
        <v>0</v>
      </c>
      <c r="AE411" s="39" t="n">
        <v>409</v>
      </c>
      <c r="AF411" s="50"/>
    </row>
    <row r="412" customFormat="false" ht="14.15" hidden="false" customHeight="false" outlineLevel="0" collapsed="false">
      <c r="A412" s="58" t="s">
        <v>846</v>
      </c>
      <c r="B412" s="46" t="s">
        <v>847</v>
      </c>
      <c r="C412" s="43" t="s">
        <v>611</v>
      </c>
      <c r="D412" s="44" t="s">
        <v>804</v>
      </c>
      <c r="E412" s="46" t="s">
        <v>119</v>
      </c>
      <c r="F412" s="46" t="n">
        <v>4</v>
      </c>
      <c r="G412" s="46" t="n">
        <v>1</v>
      </c>
      <c r="H412" s="46" t="s">
        <v>120</v>
      </c>
      <c r="I412" s="56" t="str">
        <f aca="false">A412</f>
        <v>S5.030.503</v>
      </c>
      <c r="J412" s="44"/>
      <c r="K412" s="46"/>
      <c r="L412" s="46"/>
      <c r="M412" s="60" t="n">
        <v>1</v>
      </c>
      <c r="N412" s="61" t="n">
        <v>1</v>
      </c>
      <c r="O412" s="61"/>
      <c r="P412" s="61" t="n">
        <v>1</v>
      </c>
      <c r="Q412" s="61" t="n">
        <v>0</v>
      </c>
      <c r="R412" s="61" t="n">
        <v>1</v>
      </c>
      <c r="S412" s="61" t="n">
        <v>0</v>
      </c>
      <c r="T412" s="61" t="n">
        <v>1</v>
      </c>
      <c r="U412" s="61" t="n">
        <v>1</v>
      </c>
      <c r="V412" s="61" t="n">
        <v>0</v>
      </c>
      <c r="W412" s="61" t="n">
        <v>0</v>
      </c>
      <c r="X412" s="61" t="n">
        <v>1</v>
      </c>
      <c r="Y412" s="61" t="n">
        <v>0</v>
      </c>
      <c r="Z412" s="61" t="n">
        <v>1</v>
      </c>
      <c r="AA412" s="61" t="n">
        <v>1</v>
      </c>
      <c r="AB412" s="61" t="n">
        <v>1</v>
      </c>
      <c r="AC412" s="61" t="n">
        <v>1</v>
      </c>
      <c r="AD412" s="62" t="n">
        <v>0</v>
      </c>
      <c r="AE412" s="28" t="n">
        <v>410</v>
      </c>
      <c r="AF412" s="50"/>
    </row>
    <row r="413" customFormat="false" ht="15" hidden="false" customHeight="true" outlineLevel="0" collapsed="false">
      <c r="A413" s="58" t="s">
        <v>848</v>
      </c>
      <c r="B413" s="46" t="s">
        <v>849</v>
      </c>
      <c r="C413" s="43" t="s">
        <v>803</v>
      </c>
      <c r="D413" s="44" t="s">
        <v>804</v>
      </c>
      <c r="E413" s="46" t="s">
        <v>131</v>
      </c>
      <c r="F413" s="46" t="n">
        <v>4</v>
      </c>
      <c r="G413" s="46" t="n">
        <v>1</v>
      </c>
      <c r="H413" s="46" t="s">
        <v>132</v>
      </c>
      <c r="I413" s="45" t="s">
        <v>429</v>
      </c>
      <c r="J413" s="44"/>
      <c r="K413" s="46"/>
      <c r="L413" s="46"/>
      <c r="M413" s="60" t="n">
        <v>1</v>
      </c>
      <c r="N413" s="61" t="n">
        <v>1</v>
      </c>
      <c r="O413" s="61"/>
      <c r="P413" s="61" t="n">
        <v>1</v>
      </c>
      <c r="Q413" s="61" t="n">
        <v>0</v>
      </c>
      <c r="R413" s="61" t="n">
        <v>3</v>
      </c>
      <c r="S413" s="61" t="n">
        <v>0</v>
      </c>
      <c r="T413" s="61" t="n">
        <v>2</v>
      </c>
      <c r="U413" s="61" t="n">
        <v>2</v>
      </c>
      <c r="V413" s="61" t="n">
        <v>0</v>
      </c>
      <c r="W413" s="61" t="n">
        <v>0</v>
      </c>
      <c r="X413" s="61" t="n">
        <v>11</v>
      </c>
      <c r="Y413" s="61" t="n">
        <v>0</v>
      </c>
      <c r="Z413" s="61" t="n">
        <v>8</v>
      </c>
      <c r="AA413" s="61" t="n">
        <v>2</v>
      </c>
      <c r="AB413" s="61" t="n">
        <v>10</v>
      </c>
      <c r="AC413" s="61" t="n">
        <v>1</v>
      </c>
      <c r="AD413" s="62" t="n">
        <v>0</v>
      </c>
      <c r="AE413" s="28" t="n">
        <v>411</v>
      </c>
      <c r="AF413" s="50"/>
    </row>
    <row r="414" customFormat="false" ht="14.15" hidden="false" customHeight="false" outlineLevel="0" collapsed="false">
      <c r="A414" s="58" t="s">
        <v>850</v>
      </c>
      <c r="B414" s="46" t="s">
        <v>851</v>
      </c>
      <c r="C414" s="43" t="s">
        <v>611</v>
      </c>
      <c r="D414" s="44" t="s">
        <v>804</v>
      </c>
      <c r="E414" s="46" t="s">
        <v>131</v>
      </c>
      <c r="F414" s="46" t="n">
        <v>4</v>
      </c>
      <c r="G414" s="46" t="n">
        <v>1</v>
      </c>
      <c r="H414" s="46" t="s">
        <v>132</v>
      </c>
      <c r="I414" s="56" t="str">
        <f aca="false">A414</f>
        <v>S6.030.603</v>
      </c>
      <c r="J414" s="44"/>
      <c r="K414" s="46"/>
      <c r="L414" s="46"/>
      <c r="M414" s="60" t="n">
        <v>1</v>
      </c>
      <c r="N414" s="61" t="n">
        <v>1</v>
      </c>
      <c r="O414" s="61"/>
      <c r="P414" s="61" t="n">
        <v>1</v>
      </c>
      <c r="Q414" s="61" t="n">
        <v>0</v>
      </c>
      <c r="R414" s="61" t="n">
        <v>1</v>
      </c>
      <c r="S414" s="61" t="n">
        <v>0</v>
      </c>
      <c r="T414" s="61" t="n">
        <v>1</v>
      </c>
      <c r="U414" s="61" t="n">
        <v>1</v>
      </c>
      <c r="V414" s="61" t="n">
        <v>0</v>
      </c>
      <c r="W414" s="61" t="n">
        <v>0</v>
      </c>
      <c r="X414" s="61" t="n">
        <v>1</v>
      </c>
      <c r="Y414" s="61" t="n">
        <v>0</v>
      </c>
      <c r="Z414" s="61" t="n">
        <v>1</v>
      </c>
      <c r="AA414" s="61" t="n">
        <v>1</v>
      </c>
      <c r="AB414" s="61" t="n">
        <v>1</v>
      </c>
      <c r="AC414" s="61" t="n">
        <v>1</v>
      </c>
      <c r="AD414" s="62" t="n">
        <v>0</v>
      </c>
      <c r="AE414" s="39" t="n">
        <v>412</v>
      </c>
      <c r="AF414" s="50"/>
    </row>
    <row r="415" customFormat="false" ht="14.15" hidden="false" customHeight="false" outlineLevel="0" collapsed="false">
      <c r="A415" s="58" t="s">
        <v>852</v>
      </c>
      <c r="B415" s="46" t="s">
        <v>853</v>
      </c>
      <c r="C415" s="43" t="s">
        <v>803</v>
      </c>
      <c r="D415" s="44" t="s">
        <v>804</v>
      </c>
      <c r="E415" s="46" t="s">
        <v>143</v>
      </c>
      <c r="F415" s="46" t="n">
        <v>4</v>
      </c>
      <c r="G415" s="46" t="n">
        <v>1</v>
      </c>
      <c r="H415" s="46" t="s">
        <v>144</v>
      </c>
      <c r="I415" s="45" t="s">
        <v>462</v>
      </c>
      <c r="J415" s="44"/>
      <c r="K415" s="46"/>
      <c r="L415" s="46"/>
      <c r="M415" s="60" t="n">
        <v>1</v>
      </c>
      <c r="N415" s="61" t="n">
        <v>1</v>
      </c>
      <c r="O415" s="61"/>
      <c r="P415" s="61" t="n">
        <v>1</v>
      </c>
      <c r="Q415" s="61" t="n">
        <v>0</v>
      </c>
      <c r="R415" s="61" t="n">
        <v>3</v>
      </c>
      <c r="S415" s="61" t="n">
        <v>0</v>
      </c>
      <c r="T415" s="61" t="n">
        <v>2</v>
      </c>
      <c r="U415" s="61" t="n">
        <v>2</v>
      </c>
      <c r="V415" s="61" t="n">
        <v>0</v>
      </c>
      <c r="W415" s="61" t="n">
        <v>0</v>
      </c>
      <c r="X415" s="61" t="n">
        <v>11</v>
      </c>
      <c r="Y415" s="61" t="n">
        <v>0</v>
      </c>
      <c r="Z415" s="61" t="n">
        <v>8</v>
      </c>
      <c r="AA415" s="61" t="n">
        <v>2</v>
      </c>
      <c r="AB415" s="61" t="n">
        <v>10</v>
      </c>
      <c r="AC415" s="61" t="n">
        <v>1</v>
      </c>
      <c r="AD415" s="62" t="n">
        <v>0</v>
      </c>
      <c r="AE415" s="39" t="n">
        <v>413</v>
      </c>
      <c r="AF415" s="50"/>
    </row>
    <row r="416" customFormat="false" ht="14.15" hidden="false" customHeight="false" outlineLevel="0" collapsed="false">
      <c r="A416" s="58" t="s">
        <v>854</v>
      </c>
      <c r="B416" s="46" t="s">
        <v>855</v>
      </c>
      <c r="C416" s="43" t="s">
        <v>611</v>
      </c>
      <c r="D416" s="44" t="s">
        <v>804</v>
      </c>
      <c r="E416" s="46" t="s">
        <v>143</v>
      </c>
      <c r="F416" s="46" t="n">
        <v>4</v>
      </c>
      <c r="G416" s="46" t="n">
        <v>1</v>
      </c>
      <c r="H416" s="46" t="s">
        <v>144</v>
      </c>
      <c r="I416" s="56" t="str">
        <f aca="false">A416</f>
        <v>S7.030.703</v>
      </c>
      <c r="J416" s="44"/>
      <c r="K416" s="46"/>
      <c r="L416" s="46"/>
      <c r="M416" s="60" t="n">
        <v>1</v>
      </c>
      <c r="N416" s="61" t="n">
        <v>1</v>
      </c>
      <c r="O416" s="61"/>
      <c r="P416" s="61" t="n">
        <v>1</v>
      </c>
      <c r="Q416" s="61" t="n">
        <v>0</v>
      </c>
      <c r="R416" s="61" t="n">
        <v>1</v>
      </c>
      <c r="S416" s="61" t="n">
        <v>0</v>
      </c>
      <c r="T416" s="61" t="n">
        <v>1</v>
      </c>
      <c r="U416" s="61" t="n">
        <v>1</v>
      </c>
      <c r="V416" s="61" t="n">
        <v>0</v>
      </c>
      <c r="W416" s="61" t="n">
        <v>0</v>
      </c>
      <c r="X416" s="61" t="n">
        <v>1</v>
      </c>
      <c r="Y416" s="61" t="n">
        <v>0</v>
      </c>
      <c r="Z416" s="61" t="n">
        <v>1</v>
      </c>
      <c r="AA416" s="61" t="n">
        <v>1</v>
      </c>
      <c r="AB416" s="61" t="n">
        <v>1</v>
      </c>
      <c r="AC416" s="61" t="n">
        <v>1</v>
      </c>
      <c r="AD416" s="62" t="n">
        <v>0</v>
      </c>
      <c r="AE416" s="39" t="n">
        <v>414</v>
      </c>
      <c r="AF416" s="50"/>
    </row>
    <row r="417" customFormat="false" ht="14.15" hidden="false" customHeight="false" outlineLevel="0" collapsed="false">
      <c r="A417" s="58" t="s">
        <v>856</v>
      </c>
      <c r="B417" s="46" t="s">
        <v>857</v>
      </c>
      <c r="C417" s="43" t="s">
        <v>803</v>
      </c>
      <c r="D417" s="44" t="s">
        <v>804</v>
      </c>
      <c r="E417" s="46" t="s">
        <v>155</v>
      </c>
      <c r="F417" s="46" t="n">
        <v>4</v>
      </c>
      <c r="G417" s="46" t="n">
        <v>1</v>
      </c>
      <c r="H417" s="46" t="s">
        <v>156</v>
      </c>
      <c r="I417" s="45" t="s">
        <v>481</v>
      </c>
      <c r="J417" s="44"/>
      <c r="K417" s="46"/>
      <c r="L417" s="46"/>
      <c r="M417" s="60" t="n">
        <v>1</v>
      </c>
      <c r="N417" s="61" t="n">
        <v>1</v>
      </c>
      <c r="O417" s="61"/>
      <c r="P417" s="61" t="n">
        <v>1</v>
      </c>
      <c r="Q417" s="61" t="n">
        <v>0</v>
      </c>
      <c r="R417" s="61" t="n">
        <v>3</v>
      </c>
      <c r="S417" s="61" t="n">
        <v>0</v>
      </c>
      <c r="T417" s="61" t="n">
        <v>2</v>
      </c>
      <c r="U417" s="61" t="n">
        <v>2</v>
      </c>
      <c r="V417" s="61" t="n">
        <v>0</v>
      </c>
      <c r="W417" s="61" t="n">
        <v>0</v>
      </c>
      <c r="X417" s="61" t="n">
        <v>11</v>
      </c>
      <c r="Y417" s="61" t="n">
        <v>0</v>
      </c>
      <c r="Z417" s="61" t="n">
        <v>8</v>
      </c>
      <c r="AA417" s="61" t="n">
        <v>2</v>
      </c>
      <c r="AB417" s="61" t="n">
        <v>10</v>
      </c>
      <c r="AC417" s="61" t="n">
        <v>1</v>
      </c>
      <c r="AD417" s="62" t="n">
        <v>0</v>
      </c>
      <c r="AE417" s="28" t="n">
        <v>415</v>
      </c>
      <c r="AF417" s="50"/>
    </row>
    <row r="418" customFormat="false" ht="14.15" hidden="false" customHeight="false" outlineLevel="0" collapsed="false">
      <c r="A418" s="112" t="s">
        <v>858</v>
      </c>
      <c r="B418" s="113" t="s">
        <v>859</v>
      </c>
      <c r="C418" s="114" t="s">
        <v>611</v>
      </c>
      <c r="D418" s="115" t="s">
        <v>804</v>
      </c>
      <c r="E418" s="113" t="s">
        <v>155</v>
      </c>
      <c r="F418" s="113" t="n">
        <v>4</v>
      </c>
      <c r="G418" s="46" t="n">
        <v>1</v>
      </c>
      <c r="H418" s="113" t="s">
        <v>156</v>
      </c>
      <c r="I418" s="116" t="str">
        <f aca="false">A418</f>
        <v>S8.030.803</v>
      </c>
      <c r="J418" s="115"/>
      <c r="K418" s="113"/>
      <c r="L418" s="113"/>
      <c r="M418" s="117" t="n">
        <v>1</v>
      </c>
      <c r="N418" s="118" t="n">
        <v>1</v>
      </c>
      <c r="O418" s="118"/>
      <c r="P418" s="118" t="n">
        <v>1</v>
      </c>
      <c r="Q418" s="118" t="n">
        <v>0</v>
      </c>
      <c r="R418" s="118" t="n">
        <v>1</v>
      </c>
      <c r="S418" s="118" t="n">
        <v>0</v>
      </c>
      <c r="T418" s="118" t="n">
        <v>1</v>
      </c>
      <c r="U418" s="118" t="n">
        <v>1</v>
      </c>
      <c r="V418" s="118" t="n">
        <v>0</v>
      </c>
      <c r="W418" s="118" t="n">
        <v>0</v>
      </c>
      <c r="X418" s="118" t="n">
        <v>1</v>
      </c>
      <c r="Y418" s="118" t="n">
        <v>0</v>
      </c>
      <c r="Z418" s="118" t="n">
        <v>1</v>
      </c>
      <c r="AA418" s="118" t="n">
        <v>1</v>
      </c>
      <c r="AB418" s="118" t="n">
        <v>1</v>
      </c>
      <c r="AC418" s="118" t="n">
        <v>1</v>
      </c>
      <c r="AD418" s="119" t="n">
        <v>0</v>
      </c>
      <c r="AE418" s="28" t="n">
        <v>416</v>
      </c>
      <c r="AF418" s="50"/>
    </row>
    <row r="419" s="128" customFormat="true" ht="15" hidden="false" customHeight="true" outlineLevel="0" collapsed="false">
      <c r="A419" s="120" t="s">
        <v>860</v>
      </c>
      <c r="B419" s="121"/>
      <c r="C419" s="122"/>
      <c r="D419" s="123"/>
      <c r="E419" s="121"/>
      <c r="F419" s="121"/>
      <c r="G419" s="121"/>
      <c r="H419" s="121"/>
      <c r="I419" s="124"/>
      <c r="J419" s="123"/>
      <c r="K419" s="121"/>
      <c r="L419" s="121"/>
      <c r="M419" s="125" t="n">
        <f aca="false">SUM(M420:M422)</f>
        <v>3</v>
      </c>
      <c r="N419" s="125" t="n">
        <f aca="false">SUM(N420:N422)</f>
        <v>5</v>
      </c>
      <c r="O419" s="125"/>
      <c r="P419" s="125" t="n">
        <f aca="false">SUM(P420:P422)</f>
        <v>2</v>
      </c>
      <c r="Q419" s="125" t="n">
        <f aca="false">SUM(Q420:Q422)</f>
        <v>3</v>
      </c>
      <c r="R419" s="125" t="n">
        <f aca="false">SUM(R420:R422)</f>
        <v>1</v>
      </c>
      <c r="S419" s="125" t="n">
        <f aca="false">SUM(S420:S422)</f>
        <v>0</v>
      </c>
      <c r="T419" s="125" t="n">
        <f aca="false">SUM(T420:T422)</f>
        <v>3</v>
      </c>
      <c r="U419" s="125" t="n">
        <f aca="false">SUM(U420:U422)</f>
        <v>3</v>
      </c>
      <c r="V419" s="125" t="n">
        <f aca="false">SUM(V420:V422)</f>
        <v>0</v>
      </c>
      <c r="W419" s="125" t="n">
        <f aca="false">SUM(W420:W422)</f>
        <v>0</v>
      </c>
      <c r="X419" s="125" t="n">
        <f aca="false">SUM(X420:X422)</f>
        <v>10</v>
      </c>
      <c r="Y419" s="125" t="n">
        <f aca="false">SUM(Y420:Y422)</f>
        <v>0</v>
      </c>
      <c r="Z419" s="125" t="n">
        <f aca="false">SUM(Z420:Z422)</f>
        <v>0</v>
      </c>
      <c r="AA419" s="125" t="n">
        <f aca="false">SUM(AA420:AA422)</f>
        <v>6</v>
      </c>
      <c r="AB419" s="125" t="n">
        <f aca="false">SUM(AB420:AB422)</f>
        <v>4</v>
      </c>
      <c r="AC419" s="125" t="n">
        <f aca="false">SUM(AC420:AC422)</f>
        <v>2</v>
      </c>
      <c r="AD419" s="126" t="n">
        <f aca="false">SUM(AD420:AD422)</f>
        <v>0</v>
      </c>
      <c r="AE419" s="39" t="n">
        <v>417</v>
      </c>
      <c r="AF419" s="127"/>
    </row>
    <row r="420" s="131" customFormat="true" ht="14.15" hidden="false" customHeight="false" outlineLevel="0" collapsed="false">
      <c r="A420" s="46" t="s">
        <v>861</v>
      </c>
      <c r="B420" s="46" t="s">
        <v>862</v>
      </c>
      <c r="C420" s="59" t="s">
        <v>611</v>
      </c>
      <c r="D420" s="129" t="s">
        <v>863</v>
      </c>
      <c r="E420" s="46" t="s">
        <v>57</v>
      </c>
      <c r="F420" s="46" t="n">
        <v>1</v>
      </c>
      <c r="G420" s="46" t="n">
        <v>1</v>
      </c>
      <c r="H420" s="46" t="s">
        <v>864</v>
      </c>
      <c r="I420" s="46" t="s">
        <v>861</v>
      </c>
      <c r="J420" s="129"/>
      <c r="K420" s="46"/>
      <c r="L420" s="46"/>
      <c r="M420" s="61" t="n">
        <v>1</v>
      </c>
      <c r="N420" s="61" t="n">
        <v>2</v>
      </c>
      <c r="O420" s="61"/>
      <c r="P420" s="61" t="n">
        <v>0</v>
      </c>
      <c r="Q420" s="61" t="n">
        <v>2</v>
      </c>
      <c r="R420" s="61" t="n">
        <v>0</v>
      </c>
      <c r="S420" s="61" t="n">
        <v>0</v>
      </c>
      <c r="T420" s="61" t="n">
        <v>1</v>
      </c>
      <c r="U420" s="61" t="n">
        <v>2</v>
      </c>
      <c r="V420" s="61" t="n">
        <v>0</v>
      </c>
      <c r="W420" s="61" t="n">
        <v>0</v>
      </c>
      <c r="X420" s="61" t="n">
        <v>3</v>
      </c>
      <c r="Y420" s="61" t="n">
        <v>0</v>
      </c>
      <c r="Z420" s="61" t="n">
        <v>0</v>
      </c>
      <c r="AA420" s="61" t="n">
        <v>0</v>
      </c>
      <c r="AB420" s="61" t="n">
        <v>0</v>
      </c>
      <c r="AC420" s="61" t="n">
        <v>0</v>
      </c>
      <c r="AD420" s="62" t="n">
        <v>0</v>
      </c>
      <c r="AE420" s="39" t="n">
        <v>418</v>
      </c>
      <c r="AF420" s="130"/>
    </row>
    <row r="421" s="131" customFormat="true" ht="14.15" hidden="false" customHeight="false" outlineLevel="0" collapsed="false">
      <c r="A421" s="46" t="s">
        <v>865</v>
      </c>
      <c r="B421" s="46" t="s">
        <v>866</v>
      </c>
      <c r="C421" s="59" t="s">
        <v>611</v>
      </c>
      <c r="D421" s="129" t="s">
        <v>863</v>
      </c>
      <c r="E421" s="46" t="s">
        <v>57</v>
      </c>
      <c r="F421" s="46" t="n">
        <v>1</v>
      </c>
      <c r="G421" s="46" t="n">
        <v>1</v>
      </c>
      <c r="H421" s="46" t="s">
        <v>864</v>
      </c>
      <c r="I421" s="46" t="s">
        <v>867</v>
      </c>
      <c r="J421" s="129"/>
      <c r="K421" s="46"/>
      <c r="L421" s="46"/>
      <c r="M421" s="61" t="n">
        <v>1</v>
      </c>
      <c r="N421" s="61" t="n">
        <v>2</v>
      </c>
      <c r="O421" s="61"/>
      <c r="P421" s="61" t="n">
        <v>1</v>
      </c>
      <c r="Q421" s="61" t="n">
        <v>1</v>
      </c>
      <c r="R421" s="61" t="n">
        <v>0</v>
      </c>
      <c r="S421" s="61" t="n">
        <v>0</v>
      </c>
      <c r="T421" s="61" t="n">
        <v>1</v>
      </c>
      <c r="U421" s="61" t="n">
        <v>0</v>
      </c>
      <c r="V421" s="61" t="n">
        <v>0</v>
      </c>
      <c r="W421" s="61" t="n">
        <v>0</v>
      </c>
      <c r="X421" s="61" t="n">
        <v>4</v>
      </c>
      <c r="Y421" s="61" t="n">
        <v>0</v>
      </c>
      <c r="Z421" s="61" t="n">
        <v>0</v>
      </c>
      <c r="AA421" s="61" t="n">
        <v>5</v>
      </c>
      <c r="AB421" s="61" t="n">
        <v>2</v>
      </c>
      <c r="AC421" s="61" t="n">
        <v>1</v>
      </c>
      <c r="AD421" s="62" t="n">
        <v>0</v>
      </c>
      <c r="AE421" s="39" t="n">
        <v>419</v>
      </c>
      <c r="AF421" s="130"/>
    </row>
    <row r="422" s="131" customFormat="true" ht="14.15" hidden="false" customHeight="false" outlineLevel="0" collapsed="false">
      <c r="A422" s="46" t="s">
        <v>868</v>
      </c>
      <c r="B422" s="46" t="s">
        <v>869</v>
      </c>
      <c r="C422" s="59" t="s">
        <v>611</v>
      </c>
      <c r="D422" s="129" t="s">
        <v>863</v>
      </c>
      <c r="E422" s="46" t="s">
        <v>57</v>
      </c>
      <c r="F422" s="46" t="n">
        <v>1</v>
      </c>
      <c r="G422" s="46" t="n">
        <v>1</v>
      </c>
      <c r="H422" s="46" t="s">
        <v>864</v>
      </c>
      <c r="I422" s="46" t="s">
        <v>868</v>
      </c>
      <c r="J422" s="129"/>
      <c r="K422" s="46"/>
      <c r="L422" s="46"/>
      <c r="M422" s="61" t="n">
        <v>1</v>
      </c>
      <c r="N422" s="61" t="n">
        <v>1</v>
      </c>
      <c r="O422" s="61"/>
      <c r="P422" s="61" t="n">
        <v>1</v>
      </c>
      <c r="Q422" s="61" t="n">
        <v>0</v>
      </c>
      <c r="R422" s="61" t="n">
        <v>1</v>
      </c>
      <c r="S422" s="61" t="n">
        <v>0</v>
      </c>
      <c r="T422" s="61" t="n">
        <v>1</v>
      </c>
      <c r="U422" s="61" t="n">
        <v>1</v>
      </c>
      <c r="V422" s="61" t="n">
        <v>0</v>
      </c>
      <c r="W422" s="61" t="n">
        <v>0</v>
      </c>
      <c r="X422" s="61" t="n">
        <v>3</v>
      </c>
      <c r="Y422" s="61" t="n">
        <v>0</v>
      </c>
      <c r="Z422" s="61" t="n">
        <v>0</v>
      </c>
      <c r="AA422" s="61" t="n">
        <v>1</v>
      </c>
      <c r="AB422" s="61" t="n">
        <v>2</v>
      </c>
      <c r="AC422" s="61" t="n">
        <v>1</v>
      </c>
      <c r="AD422" s="62" t="n">
        <v>0</v>
      </c>
      <c r="AE422" s="28" t="n">
        <v>420</v>
      </c>
      <c r="AF422" s="130"/>
    </row>
    <row r="423" s="140" customFormat="true" ht="15.75" hidden="false" customHeight="true" outlineLevel="0" collapsed="false">
      <c r="A423" s="132" t="s">
        <v>870</v>
      </c>
      <c r="B423" s="133"/>
      <c r="C423" s="134"/>
      <c r="D423" s="135"/>
      <c r="E423" s="133"/>
      <c r="F423" s="133"/>
      <c r="G423" s="133"/>
      <c r="H423" s="133"/>
      <c r="I423" s="136"/>
      <c r="J423" s="135"/>
      <c r="K423" s="133"/>
      <c r="L423" s="133"/>
      <c r="M423" s="137" t="n">
        <f aca="false">SUM(M424)</f>
        <v>1</v>
      </c>
      <c r="N423" s="137" t="n">
        <f aca="false">SUM(N424)</f>
        <v>1</v>
      </c>
      <c r="O423" s="137" t="n">
        <f aca="false">SUM(O424)</f>
        <v>4</v>
      </c>
      <c r="P423" s="137" t="n">
        <f aca="false">SUM(P424)</f>
        <v>1</v>
      </c>
      <c r="Q423" s="137" t="n">
        <f aca="false">SUM(Q424)</f>
        <v>0</v>
      </c>
      <c r="R423" s="137" t="n">
        <f aca="false">SUM(R424)</f>
        <v>0</v>
      </c>
      <c r="S423" s="137" t="n">
        <f aca="false">SUM(S424)</f>
        <v>0</v>
      </c>
      <c r="T423" s="137" t="n">
        <f aca="false">SUM(T424)</f>
        <v>0</v>
      </c>
      <c r="U423" s="137" t="n">
        <f aca="false">SUM(U424)</f>
        <v>0</v>
      </c>
      <c r="V423" s="137" t="n">
        <f aca="false">SUM(V424)</f>
        <v>0</v>
      </c>
      <c r="W423" s="137" t="n">
        <f aca="false">SUM(W424)</f>
        <v>0</v>
      </c>
      <c r="X423" s="137" t="n">
        <f aca="false">SUM(X424)</f>
        <v>5</v>
      </c>
      <c r="Y423" s="137" t="n">
        <f aca="false">SUM(Y424)</f>
        <v>0</v>
      </c>
      <c r="Z423" s="137" t="n">
        <f aca="false">SUM(Z424)</f>
        <v>0</v>
      </c>
      <c r="AA423" s="137" t="n">
        <f aca="false">SUM(AA424)</f>
        <v>8</v>
      </c>
      <c r="AB423" s="137" t="n">
        <f aca="false">SUM(AB424)</f>
        <v>2</v>
      </c>
      <c r="AC423" s="137" t="n">
        <f aca="false">SUM(AC424)</f>
        <v>1</v>
      </c>
      <c r="AD423" s="138" t="n">
        <f aca="false">SUM(AD424)</f>
        <v>0</v>
      </c>
      <c r="AE423" s="28" t="n">
        <v>421</v>
      </c>
      <c r="AF423" s="139"/>
    </row>
    <row r="424" customFormat="false" ht="26.85" hidden="false" customHeight="false" outlineLevel="0" collapsed="false">
      <c r="A424" s="141" t="s">
        <v>871</v>
      </c>
      <c r="B424" s="142" t="s">
        <v>872</v>
      </c>
      <c r="C424" s="43" t="s">
        <v>41</v>
      </c>
      <c r="D424" s="143" t="s">
        <v>873</v>
      </c>
      <c r="E424" s="142" t="s">
        <v>43</v>
      </c>
      <c r="F424" s="142" t="n">
        <v>2</v>
      </c>
      <c r="G424" s="142" t="n">
        <v>1</v>
      </c>
      <c r="H424" s="142" t="s">
        <v>187</v>
      </c>
      <c r="I424" s="144" t="s">
        <v>874</v>
      </c>
      <c r="J424" s="145"/>
      <c r="K424" s="142"/>
      <c r="L424" s="142"/>
      <c r="M424" s="146" t="n">
        <v>1</v>
      </c>
      <c r="N424" s="147" t="n">
        <v>1</v>
      </c>
      <c r="O424" s="147" t="n">
        <v>4</v>
      </c>
      <c r="P424" s="147" t="n">
        <v>1</v>
      </c>
      <c r="Q424" s="147" t="n">
        <v>0</v>
      </c>
      <c r="R424" s="147" t="n">
        <v>0</v>
      </c>
      <c r="S424" s="147" t="n">
        <v>0</v>
      </c>
      <c r="T424" s="147" t="n">
        <v>0</v>
      </c>
      <c r="U424" s="147" t="n">
        <v>0</v>
      </c>
      <c r="V424" s="147" t="n">
        <v>0</v>
      </c>
      <c r="W424" s="147" t="n">
        <v>0</v>
      </c>
      <c r="X424" s="147" t="n">
        <v>5</v>
      </c>
      <c r="Y424" s="147" t="n">
        <v>0</v>
      </c>
      <c r="Z424" s="147" t="n">
        <v>0</v>
      </c>
      <c r="AA424" s="147" t="n">
        <v>8</v>
      </c>
      <c r="AB424" s="147" t="n">
        <v>2</v>
      </c>
      <c r="AC424" s="147" t="n">
        <v>1</v>
      </c>
      <c r="AD424" s="148" t="n">
        <v>0</v>
      </c>
      <c r="AE424" s="39" t="n">
        <v>422</v>
      </c>
      <c r="AF424" s="50"/>
    </row>
    <row r="425" customFormat="false" ht="13.8" hidden="false" customHeight="false" outlineLevel="0" collapsed="false">
      <c r="A425" s="149"/>
      <c r="B425" s="150"/>
      <c r="C425" s="151"/>
      <c r="D425" s="152"/>
      <c r="E425" s="150"/>
      <c r="F425" s="150"/>
      <c r="G425" s="150"/>
      <c r="H425" s="150"/>
      <c r="I425" s="153"/>
      <c r="J425" s="152"/>
      <c r="K425" s="153"/>
      <c r="L425" s="153"/>
      <c r="M425" s="154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  <c r="AC425" s="150"/>
      <c r="AD425" s="155"/>
      <c r="AE425" s="39" t="n">
        <v>423</v>
      </c>
      <c r="AF425" s="50"/>
    </row>
    <row r="426" customFormat="false" ht="14.15" hidden="false" customHeight="false" outlineLevel="0" collapsed="false">
      <c r="A426" s="156" t="s">
        <v>875</v>
      </c>
      <c r="B426" s="157"/>
      <c r="C426" s="158"/>
      <c r="D426" s="159"/>
      <c r="E426" s="157"/>
      <c r="F426" s="157"/>
      <c r="G426" s="157"/>
      <c r="H426" s="157"/>
      <c r="I426" s="160"/>
      <c r="J426" s="159"/>
      <c r="K426" s="160"/>
      <c r="L426" s="160"/>
      <c r="M426" s="161" t="e">
        <f aca="false">SUM(M424)-#REF!-#REF!-#REF!-#REF!-#REF!-#REF!-#REF!-#REF!-#REF!-#REF!-#REF!-#REF!-#REF!-#REF!-#REF!-#REF!</f>
        <v>#REF!</v>
      </c>
      <c r="N426" s="161" t="e">
        <f aca="false">SUM(N424)-#REF!-#REF!-#REF!-#REF!-#REF!-#REF!-#REF!-#REF!-#REF!-#REF!-#REF!-#REF!-#REF!-#REF!-#REF!-#REF!</f>
        <v>#REF!</v>
      </c>
      <c r="O426" s="161" t="e">
        <f aca="false">SUM(O424)-#REF!-#REF!-#REF!-#REF!-#REF!-#REF!-#REF!-#REF!-#REF!-#REF!-#REF!-#REF!-#REF!-#REF!-#REF!-#REF!</f>
        <v>#REF!</v>
      </c>
      <c r="P426" s="161" t="e">
        <f aca="false">SUM(P424)-#REF!-#REF!-#REF!-#REF!-#REF!-#REF!-#REF!-#REF!-#REF!-#REF!-#REF!-#REF!-#REF!-#REF!-#REF!-#REF!</f>
        <v>#REF!</v>
      </c>
      <c r="Q426" s="161" t="e">
        <f aca="false">SUM(Q424)-#REF!-#REF!-#REF!-#REF!-#REF!-#REF!-#REF!-#REF!-#REF!-#REF!-#REF!-#REF!-#REF!-#REF!-#REF!-#REF!</f>
        <v>#REF!</v>
      </c>
      <c r="R426" s="161" t="e">
        <f aca="false">SUM(R424)-#REF!-#REF!-#REF!-#REF!-#REF!-#REF!-#REF!-#REF!-#REF!-#REF!-#REF!-#REF!-#REF!-#REF!-#REF!-#REF!</f>
        <v>#REF!</v>
      </c>
      <c r="S426" s="161" t="e">
        <f aca="false">SUM(S424)-#REF!-#REF!-#REF!-#REF!-#REF!-#REF!-#REF!-#REF!-#REF!-#REF!-#REF!-#REF!-#REF!-#REF!-#REF!-#REF!</f>
        <v>#REF!</v>
      </c>
      <c r="T426" s="161" t="e">
        <f aca="false">SUM(T424)-#REF!-#REF!-#REF!-#REF!-#REF!-#REF!-#REF!-#REF!-#REF!-#REF!-#REF!-#REF!-#REF!-#REF!-#REF!-#REF!</f>
        <v>#REF!</v>
      </c>
      <c r="U426" s="161" t="e">
        <f aca="false">SUM(U424)-#REF!-#REF!-#REF!-#REF!-#REF!-#REF!-#REF!-#REF!-#REF!-#REF!-#REF!-#REF!-#REF!-#REF!-#REF!-#REF!</f>
        <v>#REF!</v>
      </c>
      <c r="V426" s="161" t="e">
        <f aca="false">SUM(V424)-#REF!-#REF!-#REF!-#REF!-#REF!-#REF!-#REF!-#REF!-#REF!-#REF!-#REF!-#REF!-#REF!-#REF!-#REF!-#REF!</f>
        <v>#REF!</v>
      </c>
      <c r="W426" s="161" t="e">
        <f aca="false">SUM(W424)-#REF!-#REF!-#REF!-#REF!-#REF!-#REF!-#REF!-#REF!-#REF!-#REF!-#REF!-#REF!-#REF!-#REF!-#REF!-#REF!</f>
        <v>#REF!</v>
      </c>
      <c r="X426" s="161" t="e">
        <f aca="false">SUM(X424)-#REF!-#REF!-#REF!-#REF!-#REF!-#REF!-#REF!-#REF!-#REF!-#REF!-#REF!-#REF!-#REF!-#REF!-#REF!-#REF!</f>
        <v>#REF!</v>
      </c>
      <c r="Y426" s="161" t="e">
        <f aca="false">SUM(Y424)-#REF!-#REF!-#REF!-#REF!-#REF!-#REF!-#REF!-#REF!-#REF!-#REF!-#REF!-#REF!-#REF!-#REF!-#REF!-#REF!</f>
        <v>#REF!</v>
      </c>
      <c r="Z426" s="161" t="e">
        <f aca="false">SUM(Z424)-#REF!-#REF!-#REF!-#REF!-#REF!-#REF!-#REF!-#REF!-#REF!-#REF!-#REF!-#REF!-#REF!-#REF!-#REF!-#REF!</f>
        <v>#REF!</v>
      </c>
      <c r="AA426" s="161" t="e">
        <f aca="false">SUM(AA424)-#REF!-#REF!-#REF!-#REF!-#REF!-#REF!-#REF!-#REF!-#REF!-#REF!-#REF!-#REF!-#REF!-#REF!-#REF!-#REF!</f>
        <v>#REF!</v>
      </c>
      <c r="AB426" s="161" t="e">
        <f aca="false">SUM(AB424)-#REF!-#REF!-#REF!-#REF!-#REF!-#REF!-#REF!-#REF!-#REF!-#REF!-#REF!-#REF!-#REF!-#REF!-#REF!-#REF!</f>
        <v>#REF!</v>
      </c>
      <c r="AC426" s="161" t="e">
        <f aca="false">SUM(AC424)-#REF!-#REF!-#REF!-#REF!-#REF!-#REF!-#REF!-#REF!-#REF!-#REF!-#REF!-#REF!-#REF!-#REF!-#REF!-#REF!</f>
        <v>#REF!</v>
      </c>
      <c r="AD426" s="161" t="e">
        <f aca="false">SUM(AD424)-#REF!-#REF!-#REF!-#REF!-#REF!-#REF!-#REF!-#REF!-#REF!-#REF!-#REF!-#REF!-#REF!-#REF!-#REF!-#REF!</f>
        <v>#REF!</v>
      </c>
      <c r="AE426" s="39" t="n">
        <v>424</v>
      </c>
      <c r="AF426" s="50"/>
    </row>
    <row r="427" customFormat="false" ht="14.15" hidden="false" customHeight="false" outlineLevel="0" collapsed="false">
      <c r="A427" s="162" t="s">
        <v>32</v>
      </c>
      <c r="B427" s="163"/>
      <c r="C427" s="164"/>
      <c r="D427" s="165"/>
      <c r="E427" s="166"/>
      <c r="F427" s="166"/>
      <c r="G427" s="166"/>
      <c r="H427" s="166"/>
      <c r="I427" s="167"/>
      <c r="J427" s="165"/>
      <c r="K427" s="167"/>
      <c r="L427" s="167"/>
      <c r="M427" s="166"/>
      <c r="N427" s="166" t="s">
        <v>34</v>
      </c>
      <c r="O427" s="166"/>
      <c r="P427" s="166" t="s">
        <v>34</v>
      </c>
      <c r="Q427" s="166"/>
      <c r="R427" s="166" t="s">
        <v>34</v>
      </c>
      <c r="S427" s="168" t="s">
        <v>34</v>
      </c>
      <c r="T427" s="168" t="s">
        <v>35</v>
      </c>
      <c r="U427" s="168" t="s">
        <v>35</v>
      </c>
      <c r="V427" s="166" t="s">
        <v>36</v>
      </c>
      <c r="W427" s="166" t="s">
        <v>36</v>
      </c>
      <c r="X427" s="166" t="s">
        <v>35</v>
      </c>
      <c r="Y427" s="166" t="s">
        <v>35</v>
      </c>
      <c r="Z427" s="166" t="s">
        <v>35</v>
      </c>
      <c r="AA427" s="166" t="s">
        <v>37</v>
      </c>
      <c r="AB427" s="166" t="s">
        <v>36</v>
      </c>
      <c r="AC427" s="166" t="s">
        <v>37</v>
      </c>
      <c r="AD427" s="166" t="s">
        <v>37</v>
      </c>
      <c r="AE427" s="28" t="n">
        <v>425</v>
      </c>
    </row>
    <row r="428" customFormat="false" ht="14.15" hidden="false" customHeight="false" outlineLevel="0" collapsed="false">
      <c r="E428" s="4"/>
      <c r="I428" s="169"/>
      <c r="K428" s="169"/>
      <c r="L428" s="169"/>
      <c r="AE428" s="28" t="n">
        <v>426</v>
      </c>
    </row>
    <row r="429" customFormat="false" ht="13.8" hidden="false" customHeight="false" outlineLevel="0" collapsed="false">
      <c r="AE429" s="39" t="n">
        <v>427</v>
      </c>
    </row>
    <row r="430" customFormat="false" ht="13.8" hidden="false" customHeight="false" outlineLevel="0" collapsed="false">
      <c r="AE430" s="39" t="n">
        <v>428</v>
      </c>
    </row>
    <row r="431" customFormat="false" ht="13.8" hidden="false" customHeight="false" outlineLevel="0" collapsed="false">
      <c r="AE431" s="39" t="n">
        <v>429</v>
      </c>
    </row>
    <row r="432" customFormat="false" ht="14.15" hidden="false" customHeight="false" outlineLevel="0" collapsed="false">
      <c r="AE432" s="28" t="n">
        <v>430</v>
      </c>
    </row>
    <row r="433" customFormat="false" ht="14.15" hidden="false" customHeight="false" outlineLevel="0" collapsed="false">
      <c r="AE433" s="28" t="n">
        <v>431</v>
      </c>
    </row>
    <row r="434" customFormat="false" ht="13.8" hidden="false" customHeight="false" outlineLevel="0" collapsed="false">
      <c r="AE434" s="39" t="n">
        <v>432</v>
      </c>
    </row>
    <row r="435" customFormat="false" ht="13.8" hidden="false" customHeight="false" outlineLevel="0" collapsed="false">
      <c r="AE435" s="39" t="n">
        <v>433</v>
      </c>
    </row>
    <row r="436" customFormat="false" ht="13.8" hidden="false" customHeight="false" outlineLevel="0" collapsed="false">
      <c r="AE436" s="39" t="n">
        <v>434</v>
      </c>
    </row>
    <row r="437" customFormat="false" ht="14.15" hidden="false" customHeight="false" outlineLevel="0" collapsed="false">
      <c r="AE437" s="28" t="n">
        <v>435</v>
      </c>
    </row>
    <row r="438" customFormat="false" ht="14.15" hidden="false" customHeight="false" outlineLevel="0" collapsed="false">
      <c r="AE438" s="28" t="n">
        <v>436</v>
      </c>
    </row>
    <row r="439" customFormat="false" ht="13.8" hidden="false" customHeight="false" outlineLevel="0" collapsed="false">
      <c r="AE439" s="39" t="n">
        <v>437</v>
      </c>
    </row>
    <row r="440" customFormat="false" ht="13.8" hidden="false" customHeight="false" outlineLevel="0" collapsed="false">
      <c r="AE440" s="39" t="n">
        <v>438</v>
      </c>
    </row>
    <row r="441" customFormat="false" ht="13.8" hidden="false" customHeight="false" outlineLevel="0" collapsed="false">
      <c r="AE441" s="39" t="n">
        <v>439</v>
      </c>
    </row>
    <row r="442" customFormat="false" ht="14.15" hidden="false" customHeight="false" outlineLevel="0" collapsed="false">
      <c r="AE442" s="28" t="n">
        <v>440</v>
      </c>
    </row>
    <row r="443" customFormat="false" ht="14.15" hidden="false" customHeight="false" outlineLevel="0" collapsed="false">
      <c r="AE443" s="28" t="n">
        <v>441</v>
      </c>
    </row>
    <row r="444" customFormat="false" ht="12.75" hidden="false" customHeight="false" outlineLevel="0" collapsed="false">
      <c r="M444" s="5" t="n">
        <f aca="false">SUBTOTAL(9,M5:M424)</f>
        <v>767</v>
      </c>
      <c r="N444" s="5" t="n">
        <f aca="false">SUBTOTAL(9,N5:N424)</f>
        <v>937</v>
      </c>
      <c r="O444" s="5" t="n">
        <f aca="false">SUBTOTAL(9,O5:O424)</f>
        <v>8</v>
      </c>
      <c r="P444" s="5" t="n">
        <f aca="false">SUBTOTAL(9,P5:P424)</f>
        <v>246</v>
      </c>
      <c r="Q444" s="5" t="n">
        <f aca="false">SUBTOTAL(9,Q5:Q424)</f>
        <v>691</v>
      </c>
      <c r="R444" s="5" t="n">
        <f aca="false">SUBTOTAL(9,R5:R424)</f>
        <v>356</v>
      </c>
      <c r="S444" s="5" t="n">
        <f aca="false">SUBTOTAL(9,S5:S424)</f>
        <v>64</v>
      </c>
      <c r="T444" s="5" t="n">
        <f aca="false">SUBTOTAL(9,T5:T424)</f>
        <v>226</v>
      </c>
      <c r="U444" s="5" t="n">
        <f aca="false">SUBTOTAL(9,U5:U424)</f>
        <v>226</v>
      </c>
      <c r="V444" s="5" t="n">
        <f aca="false">SUBTOTAL(9,V5:V424)</f>
        <v>40</v>
      </c>
      <c r="W444" s="170" t="n">
        <f aca="false">D451</f>
        <v>0</v>
      </c>
      <c r="X444" s="5" t="n">
        <f aca="false">SUBTOTAL(9,X5:X424)</f>
        <v>1344</v>
      </c>
      <c r="Y444" s="5" t="n">
        <f aca="false">SUBTOTAL(9,Y5:Y424)</f>
        <v>264</v>
      </c>
      <c r="Z444" s="5" t="n">
        <f aca="false">SUBTOTAL(9,Z5:Z424)</f>
        <v>458</v>
      </c>
    </row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>
      <c r="X454" s="171" t="n">
        <f aca="false">SUM(X4,X56,X224,X241,X243,X276,X285,X288,X313,X315,X327,X384,X389,X6)</f>
        <v>657</v>
      </c>
    </row>
    <row r="455" customFormat="false" ht="12.75" hidden="false" customHeight="false" outlineLevel="0" collapsed="false"/>
    <row r="456" customFormat="false" ht="12.75" hidden="false" customHeight="false" outlineLevel="0" collapsed="false">
      <c r="N456" s="171" t="e">
        <f aca="false">N426-Q426</f>
        <v>#REF!</v>
      </c>
      <c r="O456" s="171"/>
    </row>
    <row r="457" customFormat="false" ht="12.75" hidden="false" customHeight="false" outlineLevel="0" collapsed="false"/>
    <row r="458" customFormat="false" ht="12.75" hidden="false" customHeight="false" outlineLevel="0" collapsed="false"/>
  </sheetData>
  <autoFilter ref="A2:AJ443">
    <sortState ref="A3:AJ443">
      <sortCondition ref="A3:A443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B23" activeCellId="1" sqref="305:308 AB23"/>
    </sheetView>
  </sheetViews>
  <sheetFormatPr defaultColWidth="8.75390625" defaultRowHeight="12.75" customHeight="false" zeroHeight="false" outlineLevelRow="0" outlineLevelCol="0"/>
  <cols>
    <col collapsed="false" customWidth="true" hidden="false" outlineLevel="0" max="1" min="1" style="0" width="17.66"/>
    <col collapsed="false" customWidth="true" hidden="false" outlineLevel="0" max="2" min="2" style="0" width="12.33"/>
    <col collapsed="false" customWidth="true" hidden="false" outlineLevel="0" max="17" min="17" style="0" width="12.66"/>
    <col collapsed="false" customWidth="true" hidden="false" outlineLevel="0" max="30" min="30" style="0" width="11.33"/>
    <col collapsed="false" customWidth="true" hidden="false" outlineLevel="0" max="33" min="33" style="0" width="21"/>
    <col collapsed="false" customWidth="true" hidden="false" outlineLevel="0" max="35" min="34" style="0" width="11.33"/>
    <col collapsed="false" customWidth="true" hidden="false" outlineLevel="0" max="36" min="36" style="0" width="14"/>
  </cols>
  <sheetData>
    <row r="1" customFormat="false" ht="52.2" hidden="false" customHeight="true" outlineLevel="0" collapsed="false">
      <c r="A1" s="172" t="s">
        <v>876</v>
      </c>
      <c r="B1" s="172" t="s">
        <v>877</v>
      </c>
      <c r="C1" s="172" t="s">
        <v>878</v>
      </c>
      <c r="D1" s="172"/>
      <c r="E1" s="172"/>
      <c r="F1" s="172" t="s">
        <v>9</v>
      </c>
      <c r="G1" s="172"/>
      <c r="H1" s="172" t="s">
        <v>12</v>
      </c>
      <c r="I1" s="172"/>
      <c r="J1" s="172" t="s">
        <v>879</v>
      </c>
      <c r="K1" s="172" t="s">
        <v>880</v>
      </c>
      <c r="L1" s="172"/>
      <c r="M1" s="172" t="s">
        <v>881</v>
      </c>
      <c r="N1" s="172"/>
      <c r="O1" s="172"/>
      <c r="P1" s="172" t="s">
        <v>882</v>
      </c>
      <c r="Q1" s="172"/>
      <c r="R1" s="172" t="s">
        <v>883</v>
      </c>
      <c r="S1" s="172"/>
      <c r="T1" s="172"/>
      <c r="U1" s="172" t="s">
        <v>884</v>
      </c>
      <c r="V1" s="172"/>
      <c r="W1" s="172" t="s">
        <v>885</v>
      </c>
      <c r="X1" s="172" t="s">
        <v>886</v>
      </c>
      <c r="Y1" s="172" t="s">
        <v>887</v>
      </c>
      <c r="Z1" s="172"/>
      <c r="AA1" s="172"/>
      <c r="AB1" s="172" t="s">
        <v>888</v>
      </c>
      <c r="AC1" s="172"/>
      <c r="AD1" s="172" t="s">
        <v>889</v>
      </c>
      <c r="AE1" s="172" t="s">
        <v>890</v>
      </c>
      <c r="AF1" s="172"/>
      <c r="AG1" s="172" t="s">
        <v>891</v>
      </c>
      <c r="AH1" s="172" t="s">
        <v>26</v>
      </c>
      <c r="AI1" s="173" t="s">
        <v>892</v>
      </c>
      <c r="AJ1" s="172" t="s">
        <v>893</v>
      </c>
      <c r="AK1" s="172" t="s">
        <v>29</v>
      </c>
      <c r="AL1" s="174" t="s">
        <v>894</v>
      </c>
      <c r="AM1" s="175" t="s">
        <v>31</v>
      </c>
    </row>
    <row r="2" customFormat="false" ht="14.15" hidden="false" customHeight="true" outlineLevel="0" collapsed="false">
      <c r="A2" s="176"/>
      <c r="B2" s="177"/>
      <c r="C2" s="178" t="s">
        <v>32</v>
      </c>
      <c r="D2" s="178"/>
      <c r="E2" s="178"/>
      <c r="F2" s="178"/>
      <c r="G2" s="178"/>
      <c r="H2" s="178"/>
      <c r="I2" s="178"/>
      <c r="J2" s="178"/>
      <c r="K2" s="178" t="s">
        <v>33</v>
      </c>
      <c r="L2" s="178"/>
      <c r="M2" s="178" t="s">
        <v>33</v>
      </c>
      <c r="N2" s="178"/>
      <c r="O2" s="178"/>
      <c r="P2" s="178" t="s">
        <v>33</v>
      </c>
      <c r="Q2" s="178"/>
      <c r="R2" s="179" t="s">
        <v>34</v>
      </c>
      <c r="S2" s="179"/>
      <c r="T2" s="179"/>
      <c r="U2" s="178"/>
      <c r="V2" s="178"/>
      <c r="W2" s="180" t="s">
        <v>35</v>
      </c>
      <c r="X2" s="180" t="s">
        <v>35</v>
      </c>
      <c r="Y2" s="178" t="s">
        <v>36</v>
      </c>
      <c r="Z2" s="178"/>
      <c r="AA2" s="178"/>
      <c r="AB2" s="178" t="s">
        <v>36</v>
      </c>
      <c r="AC2" s="178"/>
      <c r="AD2" s="181" t="s">
        <v>35</v>
      </c>
      <c r="AE2" s="178" t="s">
        <v>35</v>
      </c>
      <c r="AF2" s="178"/>
      <c r="AG2" s="181" t="s">
        <v>35</v>
      </c>
      <c r="AH2" s="181" t="s">
        <v>37</v>
      </c>
      <c r="AI2" s="181" t="s">
        <v>36</v>
      </c>
      <c r="AJ2" s="181" t="s">
        <v>37</v>
      </c>
      <c r="AK2" s="181" t="s">
        <v>37</v>
      </c>
      <c r="AL2" s="182"/>
      <c r="AM2" s="183"/>
    </row>
    <row r="3" customFormat="false" ht="14.15" hidden="false" customHeight="true" outlineLevel="0" collapsed="false">
      <c r="A3" s="184" t="s">
        <v>895</v>
      </c>
      <c r="B3" s="185" t="s">
        <v>896</v>
      </c>
      <c r="C3" s="186" t="s">
        <v>38</v>
      </c>
      <c r="D3" s="186"/>
      <c r="E3" s="186"/>
      <c r="F3" s="186" t="s">
        <v>897</v>
      </c>
      <c r="G3" s="186"/>
      <c r="H3" s="187" t="n">
        <v>1</v>
      </c>
      <c r="I3" s="187"/>
      <c r="J3" s="187" t="s">
        <v>41</v>
      </c>
      <c r="K3" s="188" t="n">
        <v>1</v>
      </c>
      <c r="L3" s="188"/>
      <c r="M3" s="188" t="n">
        <v>0</v>
      </c>
      <c r="N3" s="188"/>
      <c r="O3" s="188"/>
      <c r="P3" s="188" t="n">
        <v>0</v>
      </c>
      <c r="Q3" s="188"/>
      <c r="R3" s="188" t="n">
        <v>0</v>
      </c>
      <c r="S3" s="188"/>
      <c r="T3" s="188"/>
      <c r="U3" s="188" t="n">
        <v>0</v>
      </c>
      <c r="V3" s="188"/>
      <c r="W3" s="188" t="n">
        <v>0</v>
      </c>
      <c r="X3" s="188" t="n">
        <v>0</v>
      </c>
      <c r="Y3" s="188" t="n">
        <v>0</v>
      </c>
      <c r="Z3" s="188"/>
      <c r="AA3" s="188"/>
      <c r="AB3" s="188" t="n">
        <v>0</v>
      </c>
      <c r="AC3" s="188"/>
      <c r="AD3" s="188" t="n">
        <v>0</v>
      </c>
      <c r="AE3" s="188" t="n">
        <v>0</v>
      </c>
      <c r="AF3" s="188"/>
      <c r="AG3" s="188" t="n">
        <v>0</v>
      </c>
      <c r="AH3" s="188" t="n">
        <v>5</v>
      </c>
      <c r="AI3" s="188" t="n">
        <v>0</v>
      </c>
      <c r="AJ3" s="188" t="n">
        <v>0</v>
      </c>
      <c r="AK3" s="188" t="n">
        <v>0</v>
      </c>
      <c r="AL3" s="189"/>
      <c r="AM3" s="190"/>
    </row>
    <row r="4" customFormat="false" ht="14.15" hidden="false" customHeight="true" outlineLevel="0" collapsed="false">
      <c r="A4" s="184" t="s">
        <v>898</v>
      </c>
      <c r="B4" s="185" t="s">
        <v>896</v>
      </c>
      <c r="C4" s="186" t="s">
        <v>46</v>
      </c>
      <c r="D4" s="186"/>
      <c r="E4" s="186"/>
      <c r="F4" s="186" t="s">
        <v>899</v>
      </c>
      <c r="G4" s="186"/>
      <c r="H4" s="187" t="n">
        <v>51</v>
      </c>
      <c r="I4" s="187"/>
      <c r="J4" s="191" t="s">
        <v>41</v>
      </c>
      <c r="K4" s="192" t="n">
        <v>79</v>
      </c>
      <c r="L4" s="192"/>
      <c r="M4" s="192" t="n">
        <v>0</v>
      </c>
      <c r="N4" s="192"/>
      <c r="O4" s="192"/>
      <c r="P4" s="193" t="n">
        <v>0</v>
      </c>
      <c r="Q4" s="193"/>
      <c r="R4" s="192" t="n">
        <v>0</v>
      </c>
      <c r="S4" s="192"/>
      <c r="T4" s="192"/>
      <c r="U4" s="192" t="n">
        <v>0</v>
      </c>
      <c r="V4" s="192"/>
      <c r="W4" s="192" t="n">
        <v>0</v>
      </c>
      <c r="X4" s="192" t="n">
        <v>0</v>
      </c>
      <c r="Y4" s="188" t="n">
        <v>0</v>
      </c>
      <c r="Z4" s="188"/>
      <c r="AA4" s="188"/>
      <c r="AB4" s="192" t="n">
        <v>0</v>
      </c>
      <c r="AC4" s="192"/>
      <c r="AD4" s="192" t="n">
        <v>81</v>
      </c>
      <c r="AE4" s="192" t="n">
        <v>0</v>
      </c>
      <c r="AF4" s="192"/>
      <c r="AG4" s="192" t="n">
        <v>0</v>
      </c>
      <c r="AH4" s="193" t="n">
        <v>0</v>
      </c>
      <c r="AI4" s="192" t="n">
        <v>0</v>
      </c>
      <c r="AJ4" s="192" t="n">
        <v>0</v>
      </c>
      <c r="AK4" s="192" t="n">
        <v>0</v>
      </c>
      <c r="AL4" s="189"/>
      <c r="AM4" s="194" t="s">
        <v>900</v>
      </c>
    </row>
    <row r="5" customFormat="false" ht="14.15" hidden="false" customHeight="true" outlineLevel="0" collapsed="false">
      <c r="A5" s="184" t="s">
        <v>898</v>
      </c>
      <c r="B5" s="185" t="s">
        <v>896</v>
      </c>
      <c r="C5" s="186" t="s">
        <v>165</v>
      </c>
      <c r="D5" s="186"/>
      <c r="E5" s="186"/>
      <c r="F5" s="186" t="s">
        <v>901</v>
      </c>
      <c r="G5" s="186"/>
      <c r="H5" s="187" t="n">
        <v>165</v>
      </c>
      <c r="I5" s="187"/>
      <c r="J5" s="191" t="s">
        <v>41</v>
      </c>
      <c r="K5" s="192" t="n">
        <v>215</v>
      </c>
      <c r="L5" s="192"/>
      <c r="M5" s="188" t="n">
        <v>0</v>
      </c>
      <c r="N5" s="188"/>
      <c r="O5" s="188"/>
      <c r="P5" s="195" t="n">
        <v>0</v>
      </c>
      <c r="Q5" s="195"/>
      <c r="R5" s="192" t="n">
        <v>0</v>
      </c>
      <c r="S5" s="192"/>
      <c r="T5" s="192"/>
      <c r="U5" s="192" t="n">
        <v>0</v>
      </c>
      <c r="V5" s="192"/>
      <c r="W5" s="192" t="n">
        <v>0</v>
      </c>
      <c r="X5" s="188" t="n">
        <v>0</v>
      </c>
      <c r="Y5" s="188" t="n">
        <v>0</v>
      </c>
      <c r="Z5" s="188"/>
      <c r="AA5" s="188"/>
      <c r="AB5" s="188" t="n">
        <v>0</v>
      </c>
      <c r="AC5" s="188"/>
      <c r="AD5" s="192" t="n">
        <v>206</v>
      </c>
      <c r="AE5" s="188" t="n">
        <v>0</v>
      </c>
      <c r="AF5" s="188"/>
      <c r="AG5" s="192" t="n">
        <v>0</v>
      </c>
      <c r="AH5" s="192" t="n">
        <v>224</v>
      </c>
      <c r="AI5" s="192" t="n">
        <v>5</v>
      </c>
      <c r="AJ5" s="192" t="n">
        <v>0</v>
      </c>
      <c r="AK5" s="192" t="n">
        <v>0</v>
      </c>
      <c r="AL5" s="189"/>
      <c r="AM5" s="194" t="s">
        <v>902</v>
      </c>
    </row>
    <row r="6" customFormat="false" ht="14.15" hidden="false" customHeight="true" outlineLevel="0" collapsed="false">
      <c r="A6" s="184" t="s">
        <v>903</v>
      </c>
      <c r="B6" s="185" t="s">
        <v>896</v>
      </c>
      <c r="C6" s="186" t="s">
        <v>485</v>
      </c>
      <c r="D6" s="186"/>
      <c r="E6" s="186"/>
      <c r="F6" s="186" t="s">
        <v>904</v>
      </c>
      <c r="G6" s="186"/>
      <c r="H6" s="187" t="n">
        <v>16</v>
      </c>
      <c r="I6" s="187"/>
      <c r="J6" s="187" t="s">
        <v>41</v>
      </c>
      <c r="K6" s="188" t="n">
        <v>16</v>
      </c>
      <c r="L6" s="188"/>
      <c r="M6" s="188" t="n">
        <v>0</v>
      </c>
      <c r="N6" s="188"/>
      <c r="O6" s="188"/>
      <c r="P6" s="188" t="n">
        <v>0</v>
      </c>
      <c r="Q6" s="188"/>
      <c r="R6" s="195" t="n">
        <v>0</v>
      </c>
      <c r="S6" s="195"/>
      <c r="T6" s="195"/>
      <c r="U6" s="188" t="n">
        <v>0</v>
      </c>
      <c r="V6" s="188"/>
      <c r="W6" s="188" t="n">
        <v>0</v>
      </c>
      <c r="X6" s="188" t="n">
        <v>0</v>
      </c>
      <c r="Y6" s="188" t="n">
        <v>0</v>
      </c>
      <c r="Z6" s="188"/>
      <c r="AA6" s="188"/>
      <c r="AB6" s="188" t="n">
        <v>0</v>
      </c>
      <c r="AC6" s="188"/>
      <c r="AD6" s="188" t="n">
        <v>0</v>
      </c>
      <c r="AE6" s="188" t="n">
        <v>16</v>
      </c>
      <c r="AF6" s="188"/>
      <c r="AG6" s="188" t="n">
        <v>0</v>
      </c>
      <c r="AH6" s="188" t="n">
        <v>16</v>
      </c>
      <c r="AI6" s="188" t="n">
        <v>0</v>
      </c>
      <c r="AJ6" s="188" t="n">
        <v>0</v>
      </c>
      <c r="AK6" s="188" t="n">
        <v>0</v>
      </c>
      <c r="AL6" s="189"/>
      <c r="AM6" s="194" t="s">
        <v>905</v>
      </c>
    </row>
    <row r="7" customFormat="false" ht="14.15" hidden="false" customHeight="true" outlineLevel="0" collapsed="false">
      <c r="A7" s="184" t="s">
        <v>898</v>
      </c>
      <c r="B7" s="185" t="s">
        <v>896</v>
      </c>
      <c r="C7" s="186" t="s">
        <v>519</v>
      </c>
      <c r="D7" s="186"/>
      <c r="E7" s="186"/>
      <c r="F7" s="186" t="s">
        <v>897</v>
      </c>
      <c r="G7" s="186"/>
      <c r="H7" s="187" t="n">
        <v>1</v>
      </c>
      <c r="I7" s="187"/>
      <c r="J7" s="191" t="s">
        <v>41</v>
      </c>
      <c r="K7" s="192" t="n">
        <v>1</v>
      </c>
      <c r="L7" s="192"/>
      <c r="M7" s="192" t="n">
        <v>0</v>
      </c>
      <c r="N7" s="192"/>
      <c r="O7" s="192"/>
      <c r="P7" s="192" t="n">
        <v>1</v>
      </c>
      <c r="Q7" s="192"/>
      <c r="R7" s="192" t="n">
        <v>0</v>
      </c>
      <c r="S7" s="192"/>
      <c r="T7" s="192"/>
      <c r="U7" s="192" t="n">
        <v>0</v>
      </c>
      <c r="V7" s="192"/>
      <c r="W7" s="192" t="n">
        <v>0</v>
      </c>
      <c r="X7" s="192" t="n">
        <v>0</v>
      </c>
      <c r="Y7" s="188" t="n">
        <v>0</v>
      </c>
      <c r="Z7" s="188"/>
      <c r="AA7" s="188"/>
      <c r="AB7" s="192" t="n">
        <v>0</v>
      </c>
      <c r="AC7" s="192"/>
      <c r="AD7" s="192" t="n">
        <v>1</v>
      </c>
      <c r="AE7" s="192" t="n">
        <v>0</v>
      </c>
      <c r="AF7" s="192"/>
      <c r="AG7" s="192" t="n">
        <v>0</v>
      </c>
      <c r="AH7" s="192" t="n">
        <v>6</v>
      </c>
      <c r="AI7" s="192" t="n">
        <v>0</v>
      </c>
      <c r="AJ7" s="192" t="n">
        <v>0</v>
      </c>
      <c r="AK7" s="192" t="n">
        <v>0</v>
      </c>
      <c r="AL7" s="189"/>
      <c r="AM7" s="190"/>
    </row>
    <row r="8" customFormat="false" ht="14.15" hidden="false" customHeight="true" outlineLevel="0" collapsed="false">
      <c r="A8" s="184" t="s">
        <v>903</v>
      </c>
      <c r="B8" s="185" t="s">
        <v>896</v>
      </c>
      <c r="C8" s="186" t="s">
        <v>524</v>
      </c>
      <c r="D8" s="186"/>
      <c r="E8" s="186"/>
      <c r="F8" s="186" t="s">
        <v>906</v>
      </c>
      <c r="G8" s="186"/>
      <c r="H8" s="187" t="n">
        <v>32</v>
      </c>
      <c r="I8" s="187"/>
      <c r="J8" s="191" t="s">
        <v>41</v>
      </c>
      <c r="K8" s="192" t="n">
        <v>32</v>
      </c>
      <c r="L8" s="192"/>
      <c r="M8" s="192" t="n">
        <v>0</v>
      </c>
      <c r="N8" s="192"/>
      <c r="O8" s="192"/>
      <c r="P8" s="192" t="n">
        <v>0</v>
      </c>
      <c r="Q8" s="192"/>
      <c r="R8" s="192" t="n">
        <v>32</v>
      </c>
      <c r="S8" s="192"/>
      <c r="T8" s="192"/>
      <c r="U8" s="192" t="n">
        <v>0</v>
      </c>
      <c r="V8" s="192"/>
      <c r="W8" s="192" t="n">
        <v>0</v>
      </c>
      <c r="X8" s="192" t="n">
        <v>0</v>
      </c>
      <c r="Y8" s="188" t="n">
        <v>0</v>
      </c>
      <c r="Z8" s="188"/>
      <c r="AA8" s="188"/>
      <c r="AB8" s="192" t="n">
        <v>0</v>
      </c>
      <c r="AC8" s="192"/>
      <c r="AD8" s="192" t="n">
        <v>0</v>
      </c>
      <c r="AE8" s="192" t="n">
        <v>116</v>
      </c>
      <c r="AF8" s="192"/>
      <c r="AG8" s="192" t="n">
        <v>0</v>
      </c>
      <c r="AH8" s="192" t="n">
        <v>116</v>
      </c>
      <c r="AI8" s="192" t="n">
        <v>0</v>
      </c>
      <c r="AJ8" s="192" t="n">
        <v>0</v>
      </c>
      <c r="AK8" s="192" t="n">
        <v>0</v>
      </c>
      <c r="AL8" s="189"/>
      <c r="AM8" s="190"/>
    </row>
    <row r="9" customFormat="false" ht="14.15" hidden="false" customHeight="true" outlineLevel="0" collapsed="false">
      <c r="A9" s="194" t="s">
        <v>907</v>
      </c>
      <c r="B9" s="177" t="s">
        <v>896</v>
      </c>
      <c r="C9" s="178" t="s">
        <v>590</v>
      </c>
      <c r="D9" s="178"/>
      <c r="E9" s="178"/>
      <c r="F9" s="178" t="s">
        <v>908</v>
      </c>
      <c r="G9" s="178"/>
      <c r="H9" s="188" t="n">
        <v>8</v>
      </c>
      <c r="I9" s="188"/>
      <c r="J9" s="192" t="s">
        <v>41</v>
      </c>
      <c r="K9" s="192" t="n">
        <v>16</v>
      </c>
      <c r="L9" s="192"/>
      <c r="M9" s="188" t="n">
        <v>0</v>
      </c>
      <c r="N9" s="188"/>
      <c r="O9" s="188"/>
      <c r="P9" s="188" t="n">
        <v>0</v>
      </c>
      <c r="Q9" s="188"/>
      <c r="R9" s="192" t="n">
        <v>0</v>
      </c>
      <c r="S9" s="192"/>
      <c r="T9" s="192"/>
      <c r="U9" s="192" t="n">
        <v>0</v>
      </c>
      <c r="V9" s="192"/>
      <c r="W9" s="192" t="n">
        <v>0</v>
      </c>
      <c r="X9" s="192" t="n">
        <v>0</v>
      </c>
      <c r="Y9" s="188" t="n">
        <v>0</v>
      </c>
      <c r="Z9" s="188"/>
      <c r="AA9" s="188"/>
      <c r="AB9" s="188" t="n">
        <v>0</v>
      </c>
      <c r="AC9" s="188"/>
      <c r="AD9" s="192" t="n">
        <v>48</v>
      </c>
      <c r="AE9" s="188" t="n">
        <v>0</v>
      </c>
      <c r="AF9" s="188"/>
      <c r="AG9" s="192" t="n">
        <v>0</v>
      </c>
      <c r="AH9" s="192" t="n">
        <v>24</v>
      </c>
      <c r="AI9" s="192" t="n">
        <v>80</v>
      </c>
      <c r="AJ9" s="192" t="n">
        <v>8</v>
      </c>
      <c r="AK9" s="192" t="n">
        <v>0</v>
      </c>
      <c r="AL9" s="189"/>
      <c r="AM9" s="190"/>
    </row>
    <row r="10" customFormat="false" ht="14.15" hidden="false" customHeight="true" outlineLevel="0" collapsed="false">
      <c r="A10" s="194" t="s">
        <v>909</v>
      </c>
      <c r="B10" s="177" t="s">
        <v>896</v>
      </c>
      <c r="C10" s="178" t="s">
        <v>608</v>
      </c>
      <c r="D10" s="178"/>
      <c r="E10" s="178"/>
      <c r="F10" s="178" t="s">
        <v>910</v>
      </c>
      <c r="G10" s="178"/>
      <c r="H10" s="188" t="n">
        <v>2</v>
      </c>
      <c r="I10" s="188"/>
      <c r="J10" s="192" t="s">
        <v>611</v>
      </c>
      <c r="K10" s="192" t="n">
        <v>2</v>
      </c>
      <c r="L10" s="192"/>
      <c r="M10" s="188" t="n">
        <v>2</v>
      </c>
      <c r="N10" s="188"/>
      <c r="O10" s="188"/>
      <c r="P10" s="188" t="n">
        <v>0</v>
      </c>
      <c r="Q10" s="188"/>
      <c r="R10" s="192" t="n">
        <v>0</v>
      </c>
      <c r="S10" s="192"/>
      <c r="T10" s="192"/>
      <c r="U10" s="192" t="n">
        <v>2</v>
      </c>
      <c r="V10" s="192"/>
      <c r="W10" s="192" t="n">
        <v>4</v>
      </c>
      <c r="X10" s="192" t="n">
        <v>2</v>
      </c>
      <c r="Y10" s="188" t="n">
        <v>0</v>
      </c>
      <c r="Z10" s="188"/>
      <c r="AA10" s="188"/>
      <c r="AB10" s="188" t="n">
        <v>0</v>
      </c>
      <c r="AC10" s="188"/>
      <c r="AD10" s="192" t="n">
        <v>0</v>
      </c>
      <c r="AE10" s="188" t="n">
        <v>0</v>
      </c>
      <c r="AF10" s="188"/>
      <c r="AG10" s="192" t="n">
        <v>4</v>
      </c>
      <c r="AH10" s="192" t="n">
        <v>2</v>
      </c>
      <c r="AI10" s="192" t="n">
        <v>0</v>
      </c>
      <c r="AJ10" s="192" t="n">
        <v>0</v>
      </c>
      <c r="AK10" s="192" t="n">
        <v>0</v>
      </c>
      <c r="AL10" s="189"/>
      <c r="AM10" s="190"/>
    </row>
    <row r="11" customFormat="false" ht="26.85" hidden="false" customHeight="true" outlineLevel="0" collapsed="false">
      <c r="A11" s="184" t="s">
        <v>911</v>
      </c>
      <c r="B11" s="185" t="s">
        <v>896</v>
      </c>
      <c r="C11" s="186" t="s">
        <v>617</v>
      </c>
      <c r="D11" s="186"/>
      <c r="E11" s="186"/>
      <c r="F11" s="186" t="s">
        <v>912</v>
      </c>
      <c r="G11" s="186"/>
      <c r="H11" s="187" t="n">
        <v>23</v>
      </c>
      <c r="I11" s="187"/>
      <c r="J11" s="191" t="s">
        <v>41</v>
      </c>
      <c r="K11" s="192" t="n">
        <v>23</v>
      </c>
      <c r="L11" s="192"/>
      <c r="M11" s="188" t="n">
        <v>23</v>
      </c>
      <c r="N11" s="188"/>
      <c r="O11" s="188"/>
      <c r="P11" s="188" t="n">
        <v>23</v>
      </c>
      <c r="Q11" s="188"/>
      <c r="R11" s="192" t="n">
        <v>0</v>
      </c>
      <c r="S11" s="192"/>
      <c r="T11" s="192"/>
      <c r="U11" s="192" t="n">
        <v>23</v>
      </c>
      <c r="V11" s="192"/>
      <c r="W11" s="192" t="n">
        <v>0</v>
      </c>
      <c r="X11" s="192" t="n">
        <v>0</v>
      </c>
      <c r="Y11" s="188" t="n">
        <v>23</v>
      </c>
      <c r="Z11" s="188"/>
      <c r="AA11" s="188"/>
      <c r="AB11" s="188" t="n">
        <v>23</v>
      </c>
      <c r="AC11" s="188"/>
      <c r="AD11" s="193" t="n">
        <v>0</v>
      </c>
      <c r="AE11" s="188" t="n">
        <v>0</v>
      </c>
      <c r="AF11" s="188"/>
      <c r="AG11" s="192" t="n">
        <v>0</v>
      </c>
      <c r="AH11" s="192" t="n">
        <v>23</v>
      </c>
      <c r="AI11" s="192" t="n">
        <v>0</v>
      </c>
      <c r="AJ11" s="192" t="n">
        <v>0</v>
      </c>
      <c r="AK11" s="192" t="n">
        <v>0</v>
      </c>
      <c r="AL11" s="189"/>
      <c r="AM11" s="194" t="s">
        <v>913</v>
      </c>
    </row>
    <row r="12" customFormat="false" ht="14.15" hidden="false" customHeight="true" outlineLevel="0" collapsed="false">
      <c r="A12" s="184" t="s">
        <v>914</v>
      </c>
      <c r="B12" s="185" t="s">
        <v>896</v>
      </c>
      <c r="C12" s="186" t="s">
        <v>660</v>
      </c>
      <c r="D12" s="186"/>
      <c r="E12" s="186"/>
      <c r="F12" s="186" t="s">
        <v>915</v>
      </c>
      <c r="G12" s="186"/>
      <c r="H12" s="187" t="n">
        <v>1</v>
      </c>
      <c r="I12" s="187"/>
      <c r="J12" s="187" t="s">
        <v>611</v>
      </c>
      <c r="K12" s="188" t="n">
        <v>1</v>
      </c>
      <c r="L12" s="188"/>
      <c r="M12" s="188" t="n">
        <v>1</v>
      </c>
      <c r="N12" s="188"/>
      <c r="O12" s="188"/>
      <c r="P12" s="188" t="n">
        <v>0</v>
      </c>
      <c r="Q12" s="188"/>
      <c r="R12" s="188" t="n">
        <v>0</v>
      </c>
      <c r="S12" s="188"/>
      <c r="T12" s="188"/>
      <c r="U12" s="188" t="n">
        <v>1</v>
      </c>
      <c r="V12" s="188"/>
      <c r="W12" s="188" t="n">
        <v>1</v>
      </c>
      <c r="X12" s="188" t="n">
        <v>1</v>
      </c>
      <c r="Y12" s="188" t="n">
        <v>0</v>
      </c>
      <c r="Z12" s="188"/>
      <c r="AA12" s="188"/>
      <c r="AB12" s="188" t="n">
        <v>0</v>
      </c>
      <c r="AC12" s="188"/>
      <c r="AD12" s="188" t="n">
        <v>1</v>
      </c>
      <c r="AE12" s="188" t="n">
        <v>0</v>
      </c>
      <c r="AF12" s="188"/>
      <c r="AG12" s="188" t="n">
        <v>1</v>
      </c>
      <c r="AH12" s="188" t="n">
        <v>1</v>
      </c>
      <c r="AI12" s="188" t="n">
        <v>0</v>
      </c>
      <c r="AJ12" s="188" t="n">
        <v>0</v>
      </c>
      <c r="AK12" s="188" t="n">
        <v>0</v>
      </c>
      <c r="AL12" s="189"/>
      <c r="AM12" s="194" t="s">
        <v>916</v>
      </c>
    </row>
    <row r="13" customFormat="false" ht="26.85" hidden="false" customHeight="true" outlineLevel="0" collapsed="false">
      <c r="A13" s="184" t="s">
        <v>911</v>
      </c>
      <c r="B13" s="185" t="s">
        <v>896</v>
      </c>
      <c r="C13" s="186" t="s">
        <v>664</v>
      </c>
      <c r="D13" s="186"/>
      <c r="E13" s="186"/>
      <c r="F13" s="186" t="s">
        <v>917</v>
      </c>
      <c r="G13" s="186"/>
      <c r="H13" s="187" t="n">
        <v>10</v>
      </c>
      <c r="I13" s="187"/>
      <c r="J13" s="191" t="s">
        <v>611</v>
      </c>
      <c r="K13" s="192" t="n">
        <v>10</v>
      </c>
      <c r="L13" s="192"/>
      <c r="M13" s="192" t="n">
        <v>10</v>
      </c>
      <c r="N13" s="192"/>
      <c r="O13" s="192"/>
      <c r="P13" s="192" t="n">
        <v>26</v>
      </c>
      <c r="Q13" s="192"/>
      <c r="R13" s="192" t="n">
        <v>0</v>
      </c>
      <c r="S13" s="192"/>
      <c r="T13" s="192"/>
      <c r="U13" s="192" t="n">
        <v>10</v>
      </c>
      <c r="V13" s="192"/>
      <c r="W13" s="192" t="n">
        <v>10</v>
      </c>
      <c r="X13" s="192" t="n">
        <v>10</v>
      </c>
      <c r="Y13" s="188" t="n">
        <v>0</v>
      </c>
      <c r="Z13" s="188"/>
      <c r="AA13" s="188"/>
      <c r="AB13" s="192" t="n">
        <v>0</v>
      </c>
      <c r="AC13" s="192"/>
      <c r="AD13" s="192" t="n">
        <v>42</v>
      </c>
      <c r="AE13" s="192" t="n">
        <v>0</v>
      </c>
      <c r="AF13" s="192"/>
      <c r="AG13" s="192" t="n">
        <v>0</v>
      </c>
      <c r="AH13" s="192" t="n">
        <v>34</v>
      </c>
      <c r="AI13" s="192" t="n">
        <v>0</v>
      </c>
      <c r="AJ13" s="192" t="n">
        <v>0</v>
      </c>
      <c r="AK13" s="192" t="n">
        <v>0</v>
      </c>
      <c r="AL13" s="189"/>
      <c r="AM13" s="194"/>
    </row>
    <row r="14" customFormat="false" ht="15" hidden="false" customHeight="true" outlineLevel="0" collapsed="false">
      <c r="A14" s="184" t="s">
        <v>914</v>
      </c>
      <c r="B14" s="185" t="s">
        <v>896</v>
      </c>
      <c r="C14" s="186" t="s">
        <v>688</v>
      </c>
      <c r="D14" s="186"/>
      <c r="E14" s="186"/>
      <c r="F14" s="186" t="s">
        <v>915</v>
      </c>
      <c r="G14" s="186"/>
      <c r="H14" s="187" t="n">
        <v>54</v>
      </c>
      <c r="I14" s="187"/>
      <c r="J14" s="196" t="s">
        <v>611</v>
      </c>
      <c r="K14" s="197" t="n">
        <v>54</v>
      </c>
      <c r="L14" s="197"/>
      <c r="M14" s="192" t="n">
        <v>54</v>
      </c>
      <c r="N14" s="192"/>
      <c r="O14" s="192"/>
      <c r="P14" s="192" t="n">
        <v>70</v>
      </c>
      <c r="Q14" s="192"/>
      <c r="R14" s="192" t="n">
        <v>0</v>
      </c>
      <c r="S14" s="192"/>
      <c r="T14" s="192"/>
      <c r="U14" s="192" t="n">
        <v>54</v>
      </c>
      <c r="V14" s="192"/>
      <c r="W14" s="192" t="n">
        <v>54</v>
      </c>
      <c r="X14" s="192" t="n">
        <v>54</v>
      </c>
      <c r="Y14" s="188" t="n">
        <v>0</v>
      </c>
      <c r="Z14" s="188"/>
      <c r="AA14" s="188"/>
      <c r="AB14" s="192" t="n">
        <v>0</v>
      </c>
      <c r="AC14" s="192"/>
      <c r="AD14" s="192" t="n">
        <v>85</v>
      </c>
      <c r="AE14" s="192" t="n">
        <v>0</v>
      </c>
      <c r="AF14" s="192"/>
      <c r="AG14" s="192" t="n">
        <v>73</v>
      </c>
      <c r="AH14" s="192" t="n">
        <v>54</v>
      </c>
      <c r="AI14" s="192" t="n">
        <v>0</v>
      </c>
      <c r="AJ14" s="192" t="n">
        <v>0</v>
      </c>
      <c r="AK14" s="192" t="n">
        <v>0</v>
      </c>
      <c r="AL14" s="189"/>
      <c r="AM14" s="190"/>
    </row>
    <row r="15" customFormat="false" ht="14.15" hidden="false" customHeight="true" outlineLevel="0" collapsed="false">
      <c r="A15" s="184" t="s">
        <v>918</v>
      </c>
      <c r="B15" s="185" t="s">
        <v>896</v>
      </c>
      <c r="C15" s="186" t="s">
        <v>790</v>
      </c>
      <c r="D15" s="186"/>
      <c r="E15" s="186"/>
      <c r="F15" s="186" t="s">
        <v>919</v>
      </c>
      <c r="G15" s="186"/>
      <c r="H15" s="187" t="n">
        <v>4</v>
      </c>
      <c r="I15" s="187"/>
      <c r="J15" s="191" t="s">
        <v>611</v>
      </c>
      <c r="K15" s="192" t="n">
        <v>4</v>
      </c>
      <c r="L15" s="192"/>
      <c r="M15" s="188" t="n">
        <v>4</v>
      </c>
      <c r="N15" s="188"/>
      <c r="O15" s="188"/>
      <c r="P15" s="188" t="n">
        <v>4</v>
      </c>
      <c r="Q15" s="188"/>
      <c r="R15" s="192" t="n">
        <v>0</v>
      </c>
      <c r="S15" s="192"/>
      <c r="T15" s="192"/>
      <c r="U15" s="192" t="n">
        <v>4</v>
      </c>
      <c r="V15" s="192"/>
      <c r="W15" s="192" t="n">
        <v>4</v>
      </c>
      <c r="X15" s="192" t="n">
        <v>4</v>
      </c>
      <c r="Y15" s="188" t="n">
        <v>0</v>
      </c>
      <c r="Z15" s="188"/>
      <c r="AA15" s="188"/>
      <c r="AB15" s="188" t="n">
        <v>0</v>
      </c>
      <c r="AC15" s="188"/>
      <c r="AD15" s="192" t="n">
        <v>4</v>
      </c>
      <c r="AE15" s="188" t="n">
        <v>0</v>
      </c>
      <c r="AF15" s="188"/>
      <c r="AG15" s="192" t="n">
        <v>8</v>
      </c>
      <c r="AH15" s="192" t="n">
        <v>4</v>
      </c>
      <c r="AI15" s="192" t="n">
        <v>0</v>
      </c>
      <c r="AJ15" s="192" t="n">
        <v>0</v>
      </c>
      <c r="AK15" s="192" t="n">
        <v>4</v>
      </c>
      <c r="AL15" s="189"/>
      <c r="AM15" s="190"/>
    </row>
    <row r="16" customFormat="false" ht="14.15" hidden="false" customHeight="true" outlineLevel="0" collapsed="false">
      <c r="A16" s="184" t="s">
        <v>920</v>
      </c>
      <c r="B16" s="185" t="s">
        <v>896</v>
      </c>
      <c r="C16" s="186" t="s">
        <v>800</v>
      </c>
      <c r="D16" s="186"/>
      <c r="E16" s="186"/>
      <c r="F16" s="186" t="s">
        <v>921</v>
      </c>
      <c r="G16" s="186"/>
      <c r="H16" s="187" t="n">
        <v>29</v>
      </c>
      <c r="I16" s="187"/>
      <c r="J16" s="198" t="s">
        <v>922</v>
      </c>
      <c r="K16" s="199" t="n">
        <v>29</v>
      </c>
      <c r="L16" s="199"/>
      <c r="M16" s="200" t="n">
        <v>29</v>
      </c>
      <c r="N16" s="200"/>
      <c r="O16" s="200"/>
      <c r="P16" s="200" t="n">
        <v>56</v>
      </c>
      <c r="Q16" s="200"/>
      <c r="R16" s="199" t="n">
        <v>0</v>
      </c>
      <c r="S16" s="199"/>
      <c r="T16" s="199"/>
      <c r="U16" s="192" t="n">
        <v>29</v>
      </c>
      <c r="V16" s="192"/>
      <c r="W16" s="189" t="n">
        <v>37</v>
      </c>
      <c r="X16" s="189" t="n">
        <v>39</v>
      </c>
      <c r="Y16" s="200" t="n">
        <v>0</v>
      </c>
      <c r="Z16" s="200"/>
      <c r="AA16" s="200"/>
      <c r="AB16" s="200" t="n">
        <v>0</v>
      </c>
      <c r="AC16" s="200"/>
      <c r="AD16" s="189" t="n">
        <v>205</v>
      </c>
      <c r="AE16" s="188" t="n">
        <v>0</v>
      </c>
      <c r="AF16" s="188"/>
      <c r="AG16" s="192" t="n">
        <v>143</v>
      </c>
      <c r="AH16" s="189" t="n">
        <v>46</v>
      </c>
      <c r="AI16" s="189" t="n">
        <v>166</v>
      </c>
      <c r="AJ16" s="189" t="n">
        <v>30</v>
      </c>
      <c r="AK16" s="189" t="n">
        <v>0</v>
      </c>
      <c r="AL16" s="189"/>
      <c r="AM16" s="190"/>
    </row>
    <row r="17" customFormat="false" ht="14.15" hidden="false" customHeight="true" outlineLevel="0" collapsed="false">
      <c r="A17" s="184"/>
      <c r="B17" s="185"/>
      <c r="C17" s="186" t="s">
        <v>860</v>
      </c>
      <c r="D17" s="186"/>
      <c r="E17" s="186"/>
      <c r="F17" s="186" t="s">
        <v>923</v>
      </c>
      <c r="G17" s="186"/>
      <c r="H17" s="187"/>
      <c r="I17" s="187"/>
      <c r="J17" s="198"/>
      <c r="K17" s="189" t="n">
        <v>1</v>
      </c>
      <c r="L17" s="189"/>
      <c r="M17" s="189" t="n">
        <v>0</v>
      </c>
      <c r="N17" s="189"/>
      <c r="O17" s="189"/>
      <c r="P17" s="189"/>
      <c r="Q17" s="189"/>
      <c r="R17" s="189"/>
      <c r="S17" s="189"/>
      <c r="T17" s="189"/>
      <c r="U17" s="189"/>
      <c r="V17" s="189"/>
      <c r="W17" s="189" t="s">
        <v>924</v>
      </c>
      <c r="X17" s="189" t="s">
        <v>924</v>
      </c>
      <c r="Y17" s="189"/>
      <c r="Z17" s="189"/>
      <c r="AA17" s="189"/>
      <c r="AB17" s="189"/>
      <c r="AC17" s="189"/>
      <c r="AD17" s="189" t="s">
        <v>924</v>
      </c>
      <c r="AE17" s="189"/>
      <c r="AF17" s="189"/>
      <c r="AG17" s="189"/>
      <c r="AH17" s="189" t="s">
        <v>924</v>
      </c>
      <c r="AI17" s="189"/>
      <c r="AJ17" s="189" t="s">
        <v>924</v>
      </c>
      <c r="AK17" s="189"/>
      <c r="AL17" s="189"/>
      <c r="AM17" s="190"/>
    </row>
    <row r="18" customFormat="false" ht="12.75" hidden="false" customHeight="false" outlineLevel="0" collapsed="false">
      <c r="K18" s="201" t="s">
        <v>925</v>
      </c>
      <c r="L18" s="201"/>
      <c r="M18" s="201"/>
      <c r="N18" s="201"/>
      <c r="O18" s="201"/>
      <c r="P18" s="201" t="s">
        <v>926</v>
      </c>
      <c r="Q18" s="201"/>
      <c r="R18" s="201" t="s">
        <v>927</v>
      </c>
      <c r="S18" s="201"/>
      <c r="T18" s="201"/>
      <c r="W18" s="201" t="s">
        <v>928</v>
      </c>
      <c r="X18" s="201"/>
      <c r="Y18" s="201" t="s">
        <v>929</v>
      </c>
      <c r="Z18" s="201"/>
      <c r="AA18" s="201"/>
      <c r="AB18" s="201"/>
      <c r="AC18" s="201"/>
      <c r="AD18" s="202" t="s">
        <v>930</v>
      </c>
      <c r="AE18" s="201" t="s">
        <v>930</v>
      </c>
      <c r="AF18" s="201"/>
      <c r="AG18" s="202" t="s">
        <v>930</v>
      </c>
      <c r="AH18" s="202" t="s">
        <v>931</v>
      </c>
      <c r="AI18" s="202" t="s">
        <v>932</v>
      </c>
      <c r="AJ18" s="202" t="s">
        <v>933</v>
      </c>
      <c r="AK18" s="201" t="s">
        <v>934</v>
      </c>
      <c r="AL18" s="3"/>
    </row>
    <row r="19" customFormat="false" ht="12.75" hidden="false" customHeight="false" outlineLevel="0" collapsed="false">
      <c r="K19" s="201" t="s">
        <v>935</v>
      </c>
      <c r="L19" s="201"/>
      <c r="M19" s="201"/>
      <c r="N19" s="201"/>
      <c r="O19" s="201"/>
      <c r="P19" s="201" t="s">
        <v>936</v>
      </c>
      <c r="Q19" s="201"/>
      <c r="R19" s="201" t="s">
        <v>937</v>
      </c>
      <c r="S19" s="201"/>
      <c r="T19" s="201"/>
      <c r="W19" s="201" t="s">
        <v>938</v>
      </c>
      <c r="X19" s="201"/>
      <c r="Y19" s="201" t="s">
        <v>939</v>
      </c>
      <c r="Z19" s="201"/>
      <c r="AA19" s="201"/>
      <c r="AB19" s="201"/>
      <c r="AC19" s="201"/>
      <c r="AD19" s="201" t="s">
        <v>940</v>
      </c>
      <c r="AE19" s="201" t="s">
        <v>940</v>
      </c>
      <c r="AF19" s="201"/>
      <c r="AG19" s="202" t="s">
        <v>941</v>
      </c>
      <c r="AI19" s="0" t="s">
        <v>942</v>
      </c>
      <c r="AK19" s="201" t="s">
        <v>934</v>
      </c>
      <c r="AL19" s="3"/>
    </row>
    <row r="20" customFormat="false" ht="12.75" hidden="false" customHeight="false" outlineLevel="0" collapsed="false">
      <c r="A20" s="0" t="s">
        <v>943</v>
      </c>
      <c r="K20" s="201" t="s">
        <v>944</v>
      </c>
      <c r="L20" s="201"/>
      <c r="M20" s="201"/>
      <c r="N20" s="201"/>
      <c r="O20" s="201"/>
      <c r="P20" s="201" t="s">
        <v>945</v>
      </c>
      <c r="Q20" s="201"/>
      <c r="R20" s="201" t="s">
        <v>946</v>
      </c>
      <c r="S20" s="201"/>
      <c r="T20" s="201"/>
      <c r="W20" s="201" t="s">
        <v>947</v>
      </c>
      <c r="X20" s="201"/>
      <c r="Y20" s="201" t="s">
        <v>948</v>
      </c>
      <c r="Z20" s="201"/>
      <c r="AA20" s="201"/>
      <c r="AB20" s="201"/>
      <c r="AC20" s="201"/>
      <c r="AD20" s="202" t="s">
        <v>949</v>
      </c>
      <c r="AE20" s="201" t="s">
        <v>949</v>
      </c>
      <c r="AF20" s="201"/>
      <c r="AG20" s="202" t="s">
        <v>950</v>
      </c>
    </row>
    <row r="21" customFormat="false" ht="13.8" hidden="false" customHeight="false" outlineLevel="0" collapsed="false">
      <c r="K21" s="203" t="s">
        <v>951</v>
      </c>
      <c r="L21" s="203"/>
      <c r="M21" s="203" t="s">
        <v>952</v>
      </c>
      <c r="N21" s="203"/>
      <c r="O21" s="203"/>
      <c r="P21" s="201" t="s">
        <v>953</v>
      </c>
      <c r="Q21" s="201"/>
      <c r="R21" s="201" t="s">
        <v>953</v>
      </c>
      <c r="S21" s="201"/>
      <c r="T21" s="201"/>
      <c r="W21" s="204"/>
      <c r="X21" s="204"/>
      <c r="Y21" s="201" t="s">
        <v>954</v>
      </c>
      <c r="Z21" s="201"/>
      <c r="AA21" s="201"/>
      <c r="AB21" s="201"/>
      <c r="AC21" s="201"/>
      <c r="AD21" s="202" t="s">
        <v>955</v>
      </c>
      <c r="AE21" s="201" t="s">
        <v>955</v>
      </c>
      <c r="AF21" s="201"/>
      <c r="AG21" s="205" t="s">
        <v>956</v>
      </c>
    </row>
    <row r="22" customFormat="false" ht="13.8" hidden="false" customHeight="false" outlineLevel="0" collapsed="false">
      <c r="A22" s="0" t="s">
        <v>957</v>
      </c>
      <c r="C22" s="0" t="s">
        <v>958</v>
      </c>
      <c r="K22" s="203" t="s">
        <v>959</v>
      </c>
      <c r="L22" s="203"/>
      <c r="M22" s="203"/>
      <c r="N22" s="203"/>
      <c r="O22" s="203"/>
    </row>
    <row r="23" customFormat="false" ht="12.75" hidden="false" customHeight="false" outlineLevel="0" collapsed="false">
      <c r="K23" s="206" t="s">
        <v>960</v>
      </c>
      <c r="L23" s="206"/>
      <c r="M23" s="206"/>
      <c r="N23" s="206"/>
      <c r="O23" s="206"/>
    </row>
    <row r="25" customFormat="false" ht="12.75" hidden="false" customHeight="false" outlineLevel="0" collapsed="false">
      <c r="B25" s="0" t="s">
        <v>961</v>
      </c>
    </row>
    <row r="26" customFormat="false" ht="12.75" hidden="false" customHeight="false" outlineLevel="0" collapsed="false">
      <c r="A26" s="0" t="s">
        <v>962</v>
      </c>
      <c r="B26" s="0" t="n">
        <v>397</v>
      </c>
    </row>
    <row r="27" customFormat="false" ht="79.85" hidden="false" customHeight="false" outlineLevel="0" collapsed="false">
      <c r="A27" s="0" t="s">
        <v>963</v>
      </c>
      <c r="B27" s="207" t="s">
        <v>964</v>
      </c>
      <c r="O27" s="3"/>
    </row>
    <row r="28" customFormat="false" ht="12.75" hidden="false" customHeight="false" outlineLevel="0" collapsed="false">
      <c r="B28" s="0" t="s">
        <v>965</v>
      </c>
      <c r="C28" s="0" t="s">
        <v>966</v>
      </c>
    </row>
    <row r="29" customFormat="false" ht="12.75" hidden="false" customHeight="false" outlineLevel="0" collapsed="false">
      <c r="B29" s="0" t="s">
        <v>967</v>
      </c>
      <c r="C29" s="0" t="s">
        <v>926</v>
      </c>
    </row>
    <row r="30" customFormat="false" ht="12.75" hidden="false" customHeight="false" outlineLevel="0" collapsed="false">
      <c r="B30" s="0" t="s">
        <v>968</v>
      </c>
      <c r="C30" s="0" t="s">
        <v>969</v>
      </c>
      <c r="D30" s="0" t="s">
        <v>970</v>
      </c>
    </row>
  </sheetData>
  <mergeCells count="204">
    <mergeCell ref="C1:E1"/>
    <mergeCell ref="F1:G1"/>
    <mergeCell ref="H1:I1"/>
    <mergeCell ref="K1:L1"/>
    <mergeCell ref="M1:O1"/>
    <mergeCell ref="P1:Q1"/>
    <mergeCell ref="R1:T1"/>
    <mergeCell ref="U1:V1"/>
    <mergeCell ref="Y1:AA1"/>
    <mergeCell ref="AB1:AC1"/>
    <mergeCell ref="AE1:AF1"/>
    <mergeCell ref="C2:E2"/>
    <mergeCell ref="H2:I2"/>
    <mergeCell ref="K2:L2"/>
    <mergeCell ref="M2:O2"/>
    <mergeCell ref="P2:Q2"/>
    <mergeCell ref="R2:T2"/>
    <mergeCell ref="U2:V2"/>
    <mergeCell ref="Y2:AA2"/>
    <mergeCell ref="AB2:AC2"/>
    <mergeCell ref="AE2:AF2"/>
    <mergeCell ref="C3:E3"/>
    <mergeCell ref="F3:G3"/>
    <mergeCell ref="H3:I3"/>
    <mergeCell ref="K3:L3"/>
    <mergeCell ref="M3:O3"/>
    <mergeCell ref="P3:Q3"/>
    <mergeCell ref="R3:T3"/>
    <mergeCell ref="U3:V3"/>
    <mergeCell ref="Y3:AA3"/>
    <mergeCell ref="AB3:AC3"/>
    <mergeCell ref="AE3:AF3"/>
    <mergeCell ref="C4:E4"/>
    <mergeCell ref="F4:G4"/>
    <mergeCell ref="H4:I4"/>
    <mergeCell ref="K4:L4"/>
    <mergeCell ref="M4:O4"/>
    <mergeCell ref="P4:Q4"/>
    <mergeCell ref="R4:T4"/>
    <mergeCell ref="U4:V4"/>
    <mergeCell ref="Y4:AA4"/>
    <mergeCell ref="AB4:AC4"/>
    <mergeCell ref="AE4:AF4"/>
    <mergeCell ref="C5:E5"/>
    <mergeCell ref="F5:G5"/>
    <mergeCell ref="H5:I5"/>
    <mergeCell ref="K5:L5"/>
    <mergeCell ref="M5:O5"/>
    <mergeCell ref="P5:Q5"/>
    <mergeCell ref="R5:T5"/>
    <mergeCell ref="U5:V5"/>
    <mergeCell ref="Y5:AA5"/>
    <mergeCell ref="AB5:AC5"/>
    <mergeCell ref="AE5:AF5"/>
    <mergeCell ref="C6:E6"/>
    <mergeCell ref="F6:G6"/>
    <mergeCell ref="H6:I6"/>
    <mergeCell ref="K6:L6"/>
    <mergeCell ref="M6:O6"/>
    <mergeCell ref="P6:Q6"/>
    <mergeCell ref="R6:T6"/>
    <mergeCell ref="U6:V6"/>
    <mergeCell ref="Y6:AA6"/>
    <mergeCell ref="AB6:AC6"/>
    <mergeCell ref="AE6:AF6"/>
    <mergeCell ref="C7:E7"/>
    <mergeCell ref="F7:G7"/>
    <mergeCell ref="H7:I7"/>
    <mergeCell ref="K7:L7"/>
    <mergeCell ref="M7:O7"/>
    <mergeCell ref="P7:Q7"/>
    <mergeCell ref="R7:T7"/>
    <mergeCell ref="U7:V7"/>
    <mergeCell ref="Y7:AA7"/>
    <mergeCell ref="AB7:AC7"/>
    <mergeCell ref="AE7:AF7"/>
    <mergeCell ref="C8:E8"/>
    <mergeCell ref="F8:G8"/>
    <mergeCell ref="H8:I8"/>
    <mergeCell ref="K8:L8"/>
    <mergeCell ref="M8:O8"/>
    <mergeCell ref="P8:Q8"/>
    <mergeCell ref="R8:T8"/>
    <mergeCell ref="U8:V8"/>
    <mergeCell ref="Y8:AA8"/>
    <mergeCell ref="AB8:AC8"/>
    <mergeCell ref="AE8:AF8"/>
    <mergeCell ref="C9:E9"/>
    <mergeCell ref="F9:G9"/>
    <mergeCell ref="H9:I9"/>
    <mergeCell ref="K9:L9"/>
    <mergeCell ref="M9:O9"/>
    <mergeCell ref="P9:Q9"/>
    <mergeCell ref="R9:T9"/>
    <mergeCell ref="U9:V9"/>
    <mergeCell ref="Y9:AA9"/>
    <mergeCell ref="AB9:AC9"/>
    <mergeCell ref="AE9:AF9"/>
    <mergeCell ref="C10:E10"/>
    <mergeCell ref="F10:G10"/>
    <mergeCell ref="H10:I10"/>
    <mergeCell ref="K10:L10"/>
    <mergeCell ref="M10:O10"/>
    <mergeCell ref="P10:Q10"/>
    <mergeCell ref="R10:T10"/>
    <mergeCell ref="U10:V10"/>
    <mergeCell ref="Y10:AA10"/>
    <mergeCell ref="AB10:AC10"/>
    <mergeCell ref="AE10:AF10"/>
    <mergeCell ref="C11:E11"/>
    <mergeCell ref="F11:G11"/>
    <mergeCell ref="H11:I11"/>
    <mergeCell ref="K11:L11"/>
    <mergeCell ref="M11:O11"/>
    <mergeCell ref="P11:Q11"/>
    <mergeCell ref="R11:T11"/>
    <mergeCell ref="U11:V11"/>
    <mergeCell ref="Y11:AA11"/>
    <mergeCell ref="AB11:AC11"/>
    <mergeCell ref="AE11:AF11"/>
    <mergeCell ref="C12:E12"/>
    <mergeCell ref="F12:G12"/>
    <mergeCell ref="H12:I12"/>
    <mergeCell ref="K12:L12"/>
    <mergeCell ref="M12:O12"/>
    <mergeCell ref="P12:Q12"/>
    <mergeCell ref="R12:T12"/>
    <mergeCell ref="U12:V12"/>
    <mergeCell ref="Y12:AA12"/>
    <mergeCell ref="AB12:AC12"/>
    <mergeCell ref="AE12:AF12"/>
    <mergeCell ref="C13:E13"/>
    <mergeCell ref="F13:G13"/>
    <mergeCell ref="H13:I13"/>
    <mergeCell ref="K13:L13"/>
    <mergeCell ref="M13:O13"/>
    <mergeCell ref="P13:Q13"/>
    <mergeCell ref="R13:T13"/>
    <mergeCell ref="U13:V13"/>
    <mergeCell ref="Y13:AA13"/>
    <mergeCell ref="AB13:AC13"/>
    <mergeCell ref="AE13:AF13"/>
    <mergeCell ref="C14:E14"/>
    <mergeCell ref="F14:G14"/>
    <mergeCell ref="H14:I14"/>
    <mergeCell ref="K14:L14"/>
    <mergeCell ref="M14:O14"/>
    <mergeCell ref="P14:Q14"/>
    <mergeCell ref="R14:T14"/>
    <mergeCell ref="U14:V14"/>
    <mergeCell ref="Y14:AA14"/>
    <mergeCell ref="AB14:AC14"/>
    <mergeCell ref="AE14:AF14"/>
    <mergeCell ref="C15:E15"/>
    <mergeCell ref="F15:G15"/>
    <mergeCell ref="H15:I15"/>
    <mergeCell ref="K15:L15"/>
    <mergeCell ref="M15:O15"/>
    <mergeCell ref="P15:Q15"/>
    <mergeCell ref="R15:T15"/>
    <mergeCell ref="U15:V15"/>
    <mergeCell ref="Y15:AA15"/>
    <mergeCell ref="AB15:AC15"/>
    <mergeCell ref="AE15:AF15"/>
    <mergeCell ref="C16:E16"/>
    <mergeCell ref="F16:G16"/>
    <mergeCell ref="H16:I16"/>
    <mergeCell ref="K16:L16"/>
    <mergeCell ref="M16:O16"/>
    <mergeCell ref="P16:Q16"/>
    <mergeCell ref="R16:T16"/>
    <mergeCell ref="U16:V16"/>
    <mergeCell ref="Y16:AA16"/>
    <mergeCell ref="AB16:AC16"/>
    <mergeCell ref="AE16:AF16"/>
    <mergeCell ref="C17:E17"/>
    <mergeCell ref="F17:G17"/>
    <mergeCell ref="H17:I17"/>
    <mergeCell ref="K18:O18"/>
    <mergeCell ref="P18:Q18"/>
    <mergeCell ref="R18:T18"/>
    <mergeCell ref="W18:X18"/>
    <mergeCell ref="Y18:AC18"/>
    <mergeCell ref="AE18:AF18"/>
    <mergeCell ref="K19:O19"/>
    <mergeCell ref="P19:Q19"/>
    <mergeCell ref="R19:T19"/>
    <mergeCell ref="W19:X19"/>
    <mergeCell ref="Y19:AC19"/>
    <mergeCell ref="AE19:AF19"/>
    <mergeCell ref="K20:O20"/>
    <mergeCell ref="P20:Q20"/>
    <mergeCell ref="R20:T20"/>
    <mergeCell ref="W20:X20"/>
    <mergeCell ref="Y20:AC20"/>
    <mergeCell ref="AE20:AF20"/>
    <mergeCell ref="K21:L21"/>
    <mergeCell ref="M21:O21"/>
    <mergeCell ref="P21:Q21"/>
    <mergeCell ref="R21:T21"/>
    <mergeCell ref="Y21:AC21"/>
    <mergeCell ref="AE21:AF21"/>
    <mergeCell ref="K22:O22"/>
    <mergeCell ref="K23:O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b5d572-7eda-4bc5-a61d-3cadc2970c1b" xsi:nil="true"/>
    <lcf76f155ced4ddcb4097134ff3c332f xmlns="00144460-e5e1-47f1-8342-c0b8d759e3d8">
      <Terms xmlns="http://schemas.microsoft.com/office/infopath/2007/PartnerControls"/>
    </lcf76f155ced4ddcb4097134ff3c332f>
    <kc3c154570544122a9bd4c55999332d3 xmlns="00144460-e5e1-47f1-8342-c0b8d759e3d8">
      <Terms xmlns="http://schemas.microsoft.com/office/infopath/2007/PartnerControls"/>
    </kc3c154570544122a9bd4c55999332d3>
    <Noter xmlns="00144460-e5e1-47f1-8342-c0b8d759e3d8" xsi:nil="true"/>
    <p317993ce7eb40c58d9dd443e0bec9bf xmlns="00144460-e5e1-47f1-8342-c0b8d759e3d8">
      <Terms xmlns="http://schemas.microsoft.com/office/infopath/2007/PartnerControls"/>
    </p317993ce7eb40c58d9dd443e0bec9bf>
    <ab911a90c6a34c1e8f359b203c488b92 xmlns="00144460-e5e1-47f1-8342-c0b8d759e3d8">
      <Terms xmlns="http://schemas.microsoft.com/office/infopath/2007/PartnerControls"/>
    </ab911a90c6a34c1e8f359b203c488b92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4B7492A5C4DE469F8D1039F26007C7" ma:contentTypeVersion="22" ma:contentTypeDescription="Create a new document." ma:contentTypeScope="" ma:versionID="a547f9d6be680737da051ef5c73cda81">
  <xsd:schema xmlns:xsd="http://www.w3.org/2001/XMLSchema" xmlns:xs="http://www.w3.org/2001/XMLSchema" xmlns:p="http://schemas.microsoft.com/office/2006/metadata/properties" xmlns:ns2="00144460-e5e1-47f1-8342-c0b8d759e3d8" xmlns:ns3="a8b5d572-7eda-4bc5-a61d-3cadc2970c1b" targetNamespace="http://schemas.microsoft.com/office/2006/metadata/properties" ma:root="true" ma:fieldsID="30993cea579159bf001936a1f5b95970" ns2:_="" ns3:_="">
    <xsd:import namespace="00144460-e5e1-47f1-8342-c0b8d759e3d8"/>
    <xsd:import namespace="a8b5d572-7eda-4bc5-a61d-3cadc2970c1b"/>
    <xsd:element name="properties">
      <xsd:complexType>
        <xsd:sequence>
          <xsd:element name="documentManagement">
            <xsd:complexType>
              <xsd:all>
                <xsd:element ref="ns2:ab911a90c6a34c1e8f359b203c488b92" minOccurs="0"/>
                <xsd:element ref="ns2:p317993ce7eb40c58d9dd443e0bec9bf" minOccurs="0"/>
                <xsd:element ref="ns2:kc3c154570544122a9bd4c55999332d3" minOccurs="0"/>
                <xsd:element ref="ns3:TaxCatchAll" minOccurs="0"/>
                <xsd:element ref="ns2:Note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4460-e5e1-47f1-8342-c0b8d759e3d8" elementFormDefault="qualified">
    <xsd:import namespace="http://schemas.microsoft.com/office/2006/documentManagement/types"/>
    <xsd:import namespace="http://schemas.microsoft.com/office/infopath/2007/PartnerControls"/>
    <xsd:element name="ab911a90c6a34c1e8f359b203c488b92" ma:index="8" nillable="true" ma:taxonomy="true" ma:internalName="ab911a90c6a34c1e8f359b203c488b92" ma:taxonomyFieldName="Dokument_x0020_type" ma:displayName="Dokument type" ma:default="" ma:fieldId="{ab911a90-c6a3-4c1e-8f35-9b203c488b92}" ma:sspId="967d6129-c6e8-4d94-b2c0-d237e0f7173f" ma:termSetId="e0a7c409-cece-4ca2-b454-aef3ce8dfdb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317993ce7eb40c58d9dd443e0bec9bf" ma:index="9" nillable="true" ma:taxonomy="true" ma:internalName="p317993ce7eb40c58d9dd443e0bec9bf" ma:taxonomyFieldName="Teknik" ma:displayName="Teknik" ma:default="" ma:fieldId="{9317993c-e7eb-40c5-8d9d-d443e0bec9bf}" ma:sspId="967d6129-c6e8-4d94-b2c0-d237e0f7173f" ma:termSetId="8c3bb43d-1bc9-4c49-a920-d7aef46b92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c3c154570544122a9bd4c55999332d3" ma:index="10" nillable="true" ma:taxonomy="true" ma:internalName="kc3c154570544122a9bd4c55999332d3" ma:taxonomyFieldName="Operation" ma:displayName="Operation" ma:default="" ma:fieldId="{4c3c1545-7054-4122-a9bd-4c55999332d3}" ma:sspId="967d6129-c6e8-4d94-b2c0-d237e0f7173f" ma:termSetId="eb1d4891-8ead-42fe-80e5-774eecc8951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oter" ma:index="15" nillable="true" ma:displayName="Noter" ma:format="Dropdown" ma:internalName="Noter">
      <xsd:simpleType>
        <xsd:restriction base="dms:Note">
          <xsd:maxLength value="255"/>
        </xsd:restriction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7d6129-c6e8-4d94-b2c0-d237e0f71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5d572-7eda-4bc5-a61d-3cadc2970c1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7f7361c-354c-41bd-963d-c8aa18c8743e}" ma:internalName="TaxCatchAll" ma:showField="CatchAllData" ma:web="a8b5d572-7eda-4bc5-a61d-3cadc2970c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DAEDF-9BA0-40C6-9087-6AFC3278D41F}"/>
</file>

<file path=customXml/itemProps2.xml><?xml version="1.0" encoding="utf-8"?>
<ds:datastoreItem xmlns:ds="http://schemas.openxmlformats.org/officeDocument/2006/customXml" ds:itemID="{3DFF820D-40B5-4698-BF5A-32538DAB5DE4}"/>
</file>

<file path=customXml/itemProps3.xml><?xml version="1.0" encoding="utf-8"?>
<ds:datastoreItem xmlns:ds="http://schemas.openxmlformats.org/officeDocument/2006/customXml" ds:itemID="{E60574F7-65A6-43A1-8DF5-CDBD50C4409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2025-03-28T08:51:39Z</dcterms:created>
  <dc:creator/>
  <dc:description/>
  <dc:language>en-US</dc:language>
  <cp:lastModifiedBy/>
  <dcterms:modified xsi:type="dcterms:W3CDTF">2026-03-07T21:56:51Z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0x010100714B7492A5C4DE469F8D1039F26007C7</vt:lpwstr>
  </property>
  <property fmtid="{D5CDD505-2E9C-101B-9397-08002B2CF9AE}" pid="3" name="Created">
    <vt:filetime>2025-02-27T00:00:00Z</vt:filetime>
  </property>
  <property fmtid="{D5CDD505-2E9C-101B-9397-08002B2CF9AE}" pid="4" name="Creator">
    <vt:lpwstr>Bluebeam Stapler 21.1.0.10</vt:lpwstr>
  </property>
  <property fmtid="{D5CDD505-2E9C-101B-9397-08002B2CF9AE}" pid="5" name="Dokument type">
    <vt:lpwstr/>
  </property>
  <property fmtid="{D5CDD505-2E9C-101B-9397-08002B2CF9AE}" pid="6" name="Dokument_x0020_type">
    <vt:lpwstr/>
  </property>
  <property fmtid="{D5CDD505-2E9C-101B-9397-08002B2CF9AE}" pid="7" name="LastSaved">
    <vt:filetime>2025-03-28T00:00:00Z</vt:filetime>
  </property>
  <property fmtid="{D5CDD505-2E9C-101B-9397-08002B2CF9AE}" pid="8" name="MediaServiceImageTags">
    <vt:lpwstr/>
  </property>
  <property fmtid="{D5CDD505-2E9C-101B-9397-08002B2CF9AE}" pid="9" name="Operation">
    <vt:lpwstr/>
  </property>
  <property fmtid="{D5CDD505-2E9C-101B-9397-08002B2CF9AE}" pid="10" name="Producer">
    <vt:lpwstr>Bluebeam Brewery 5.0</vt:lpwstr>
  </property>
  <property fmtid="{D5CDD505-2E9C-101B-9397-08002B2CF9AE}" pid="11" name="Teknik">
    <vt:lpwstr/>
  </property>
</Properties>
</file>